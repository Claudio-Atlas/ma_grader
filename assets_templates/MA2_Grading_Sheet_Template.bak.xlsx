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ragsd\Desktop\MA2_grader\"/>
    </mc:Choice>
  </mc:AlternateContent>
  <xr:revisionPtr revIDLastSave="0" documentId="13_ncr:1_{B6C20598-9112-4E82-8D7D-4FB0C246340C}" xr6:coauthVersionLast="47" xr6:coauthVersionMax="47" xr10:uidLastSave="{00000000-0000-0000-0000-000000000000}"/>
  <bookViews>
    <workbookView xWindow="57480" yWindow="-120" windowWidth="29040" windowHeight="15720" xr2:uid="{1EF4C19E-4276-4C17-987B-894CE75FA715}"/>
  </bookViews>
  <sheets>
    <sheet name="Grading Sheet" sheetId="8" r:id="rId1"/>
    <sheet name="Random" sheetId="14"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3" i="8" l="1"/>
  <c r="I31" i="8"/>
  <c r="I29" i="8"/>
  <c r="I21" i="8"/>
  <c r="I16" i="8"/>
  <c r="I9" i="8"/>
  <c r="F29" i="8"/>
  <c r="F21" i="8"/>
  <c r="C36" i="8"/>
  <c r="C35" i="8"/>
  <c r="C34" i="8"/>
  <c r="C33" i="8"/>
  <c r="E29" i="8"/>
  <c r="E21" i="8"/>
  <c r="F16" i="8"/>
  <c r="E16" i="8"/>
  <c r="F9" i="8"/>
  <c r="E9" i="8"/>
  <c r="G16" i="8" l="1"/>
  <c r="H16" i="8" s="1"/>
  <c r="D34" i="8" s="1"/>
  <c r="G21" i="8"/>
  <c r="H21" i="8" s="1"/>
  <c r="D35" i="8" s="1"/>
  <c r="G9" i="8"/>
  <c r="H9" i="8" s="1"/>
  <c r="D33" i="8" s="1"/>
  <c r="G29" i="8"/>
  <c r="H29" i="8" s="1"/>
  <c r="D36" i="8" s="1"/>
  <c r="B7" i="14" l="1"/>
  <c r="B8" i="14"/>
  <c r="B9" i="14"/>
  <c r="B10" i="14"/>
  <c r="C10" i="14" s="1"/>
  <c r="B6" i="14"/>
  <c r="C6" i="14" s="1"/>
  <c r="D10" i="14" l="1"/>
  <c r="C7" i="14"/>
  <c r="C9" i="14"/>
  <c r="C8" i="14"/>
  <c r="D6" i="14"/>
  <c r="E10" i="14"/>
  <c r="E6" i="14"/>
  <c r="D9" i="14" l="1"/>
  <c r="D8" i="14"/>
  <c r="D7" i="14"/>
  <c r="E8" i="14"/>
  <c r="E7" i="14"/>
  <c r="E9" i="14"/>
  <c r="B11" i="14" l="1"/>
  <c r="B12" i="14" s="1"/>
  <c r="C12" i="14" l="1"/>
  <c r="B13" i="14"/>
  <c r="D12" i="14"/>
  <c r="E12" i="14" s="1"/>
  <c r="D13" i="14" l="1"/>
  <c r="B14" i="14"/>
  <c r="D14" i="14" l="1"/>
  <c r="B15" i="14"/>
  <c r="C13" i="14"/>
  <c r="E13" i="14"/>
  <c r="D15" i="14" l="1"/>
  <c r="B16" i="14"/>
  <c r="E14" i="14"/>
  <c r="C14" i="14"/>
  <c r="C15" i="14" l="1"/>
  <c r="E15" i="14"/>
  <c r="B17" i="14"/>
  <c r="D16" i="14"/>
  <c r="C16" i="14" l="1"/>
  <c r="E16" i="14"/>
  <c r="D17" i="14"/>
  <c r="B18" i="14"/>
  <c r="H20" i="14"/>
  <c r="D18" i="14" l="1"/>
  <c r="B19" i="14"/>
  <c r="E17" i="14"/>
  <c r="C17" i="14"/>
  <c r="B20" i="14" l="1"/>
  <c r="D19" i="14"/>
  <c r="E18" i="14"/>
  <c r="C18" i="14"/>
  <c r="C19" i="14" l="1"/>
  <c r="E19" i="14"/>
  <c r="D20" i="14"/>
  <c r="B21" i="14"/>
  <c r="B22" i="14" l="1"/>
  <c r="D21" i="14"/>
  <c r="C20" i="14"/>
  <c r="E20" i="14"/>
  <c r="B23" i="14" l="1"/>
  <c r="D22" i="14"/>
  <c r="C21" i="14"/>
  <c r="E21" i="14"/>
  <c r="C22" i="14" l="1"/>
  <c r="E22" i="14"/>
  <c r="B24" i="14"/>
  <c r="D23" i="14"/>
  <c r="D24" i="14" l="1"/>
  <c r="B25" i="14"/>
  <c r="C23" i="14"/>
  <c r="E23" i="14"/>
  <c r="E24" i="14" l="1"/>
  <c r="C24" i="14"/>
  <c r="D25" i="14"/>
  <c r="B26" i="14"/>
  <c r="B27" i="14" l="1"/>
  <c r="D26" i="14"/>
  <c r="E25" i="14"/>
  <c r="C25" i="14"/>
  <c r="C26" i="14" l="1"/>
  <c r="H19" i="14" s="1"/>
  <c r="E26" i="14"/>
  <c r="B28" i="14"/>
  <c r="D27" i="14"/>
  <c r="E27" i="14" l="1"/>
  <c r="C27" i="14"/>
  <c r="D28" i="14"/>
  <c r="B29" i="14"/>
  <c r="D29" i="14" l="1"/>
  <c r="B30" i="14"/>
  <c r="E28" i="14"/>
  <c r="C28" i="14"/>
  <c r="D30" i="14" l="1"/>
  <c r="B31" i="14"/>
  <c r="E29" i="14"/>
  <c r="C29" i="14"/>
  <c r="B32" i="14" l="1"/>
  <c r="D31" i="14"/>
  <c r="E30" i="14"/>
  <c r="C30" i="14"/>
  <c r="H21" i="14" s="1"/>
  <c r="E31" i="14" l="1"/>
  <c r="C31" i="14"/>
  <c r="H22" i="14" s="1"/>
  <c r="D32" i="14"/>
  <c r="B33" i="14"/>
  <c r="D33" i="14" s="1"/>
  <c r="C32" i="14" l="1"/>
  <c r="E32" i="14"/>
  <c r="E33" i="14"/>
  <c r="C33" i="14"/>
</calcChain>
</file>

<file path=xl/sharedStrings.xml><?xml version="1.0" encoding="utf-8"?>
<sst xmlns="http://schemas.openxmlformats.org/spreadsheetml/2006/main" count="72" uniqueCount="63">
  <si>
    <t>Rubric Category</t>
  </si>
  <si>
    <t>(% weighting for assignment)</t>
  </si>
  <si>
    <t>Requirements for full credit</t>
  </si>
  <si>
    <t>Did you meet the requirements?</t>
  </si>
  <si>
    <t>Possible Points</t>
  </si>
  <si>
    <t>Your Points</t>
  </si>
  <si>
    <t>Comments</t>
  </si>
  <si>
    <t>Rubric Score</t>
  </si>
  <si>
    <t>Income and Projection (Calculations)</t>
  </si>
  <si>
    <t>You have entered your full name in the field provided.  (Note that entering your name on this sheet is required in order to complete the assignment.) (1 point)</t>
  </si>
  <si>
    <t>You have completed the CPI table appropriately based on the given starting month and year.</t>
  </si>
  <si>
    <t>You have correctly calculated the slope and y-intercept of the best-fit line for your CPI values using the appropriate Excel functions with appropriate cell references. (2 points each)</t>
  </si>
  <si>
    <t>Your projection year entry (1 point), projected CPI formula (3 points), and inflation rate formula (2 points) are correct and use appropriate cell references.</t>
  </si>
  <si>
    <t>You have used an Excel formula to bring your Current Income value forward (1 point), and your 5-year Income Projection (3 points) and Projected Monthly Income (2 points) formulas are correct and use appropriate cell references.</t>
  </si>
  <si>
    <t>You have explicitly formatted all entries as directed in the instructions.</t>
  </si>
  <si>
    <t>Subtotals</t>
  </si>
  <si>
    <t>Student Loans (Calculations)</t>
  </si>
  <si>
    <t>You have correctly input your interest rate from the Mortgage Rates tab. (1 point)</t>
  </si>
  <si>
    <t>For the Unsubsidized Loan, you have correctly entered the number of years interest accrues while in school (1 point), and your formulas for the additional interest and the new total principal for the loan are correct (2 points each).</t>
  </si>
  <si>
    <t>Your number of payments per year and number of years entries are correct (1 point each).</t>
  </si>
  <si>
    <r>
      <t xml:space="preserve">For the Subsidized Loan, you have correctly calculated the Monthly Loan Payment (4 points), Total Paid (2 points), and Interest Paid (2 points).  For all entries, use the provided formulas. </t>
    </r>
    <r>
      <rPr>
        <b/>
        <sz val="12"/>
        <rFont val="Calibri"/>
        <family val="2"/>
        <scheme val="minor"/>
      </rPr>
      <t xml:space="preserve">Do not use the Excel built-in =FV() or =PMT(). </t>
    </r>
  </si>
  <si>
    <t>For the Unsubsidized Loan, you have correctly calculated the Monthly Loan Payment (4 points), Total Paid (2 points), and Interest Paid (2 points).</t>
  </si>
  <si>
    <t>Credit Cards (Calculations)</t>
  </si>
  <si>
    <t>You have correctly entered the APR, Starting Balance, Payments per Year, Percentage of the Current Balance, and Fixed Minimum entries based on the values provided in the description in cell A3 (1 point each).</t>
  </si>
  <si>
    <t>For your Current Balance, Payment, Balance After Payment, and Interest entries, you have provided Excel formulas with appropriate cell references for all inputs.</t>
  </si>
  <si>
    <t>For the Number of Years to Pay Off, Total Amount Paid, and Total Interest Paid, you have provided Excel functions with appropriate cell references (3 points each).</t>
  </si>
  <si>
    <t>You have explicitly formatted all entries as discussed in the instructions.</t>
  </si>
  <si>
    <t>Annual Budget (Calculations)</t>
  </si>
  <si>
    <t>For the Housing through Other rows, you have completed the Frequency Per Year entries (4 points) and Cost entries (4 points), and your Total Annual Cost entries (8 points) are Excel formulas using appropriate cell references.</t>
  </si>
  <si>
    <t>For the Subsidized Monthly Loan row, you have correctly entered the Frequency (1 point), brought forward the loan payment amount from the Student Loans worksheet using a cell reference (2 points), and provided an Excel formula for the Total Annual Cost entry (2 points).</t>
  </si>
  <si>
    <t>For the Credit Card Monthly Payment row, you have correctly entered the Frequency (1 point), brought forward the first credit card payment amount from the Credit Cards worksheet using an Excel formula (2 points), and provided an Excel formula for the Total Annual Cost entry (2 points).</t>
  </si>
  <si>
    <t>Your Total Annual Budget correctly adds up the costs for Housing through the Credit Card payment, using the Excel SUM() function.</t>
  </si>
  <si>
    <t>You have correctly calculated the Projected Total in 5 Years (3 points) and Remaining Total (2 points), using Excel formulas with appropriate cell references.</t>
  </si>
  <si>
    <t>You have included a Pie Chart for your Total Annual Cost entries, using the Budget Category entries as a legend; updating the chart title; and adding percentage labels.</t>
  </si>
  <si>
    <t xml:space="preserve">You have explicitly formatted your cells as directed in the instructions. </t>
  </si>
  <si>
    <t>Seed</t>
  </si>
  <si>
    <t>Rand1</t>
  </si>
  <si>
    <t>Rand2</t>
  </si>
  <si>
    <t>Rand3</t>
  </si>
  <si>
    <t>Rand4</t>
  </si>
  <si>
    <t>Rand5</t>
  </si>
  <si>
    <t>Rand6</t>
  </si>
  <si>
    <t>Rand7</t>
  </si>
  <si>
    <t>Rand8</t>
  </si>
  <si>
    <t>Rand9</t>
  </si>
  <si>
    <t>Rand10</t>
  </si>
  <si>
    <t>Rand11</t>
  </si>
  <si>
    <t>Rand12</t>
  </si>
  <si>
    <t>Rand13</t>
  </si>
  <si>
    <t>Rand14</t>
  </si>
  <si>
    <t>Rand15</t>
  </si>
  <si>
    <t>Rand16</t>
  </si>
  <si>
    <t>Rand17</t>
  </si>
  <si>
    <t>Rand18</t>
  </si>
  <si>
    <t>Rand19</t>
  </si>
  <si>
    <t>Rand20</t>
  </si>
  <si>
    <t>Rand21</t>
  </si>
  <si>
    <t>Rand22</t>
  </si>
  <si>
    <t>Major Assignment 2 Grading Sheet (03/17/2025)</t>
  </si>
  <si>
    <t>Template Score</t>
  </si>
  <si>
    <t>Total</t>
  </si>
  <si>
    <t xml:space="preserve">Paper Score </t>
  </si>
  <si>
    <t>Overall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</si>
</sst>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0">
    <font>
      <sz val="12"/>
      <color theme="1"/>
      <name val="Times New Roman"/>
      <family val="1"/>
    </font>
    <font>
      <sz val="12"/>
      <color theme="1"/>
      <name val="Calibri"/>
      <family val="2"/>
      <scheme val="minor"/>
    </font>
    <font>
      <b/>
      <sz val="16"/>
      <color theme="1"/>
      <name val="Calibri"/>
      <family val="2"/>
      <scheme val="minor"/>
    </font>
    <font>
      <b/>
      <sz val="12"/>
      <color theme="1"/>
      <name val="Calibri"/>
      <family val="2"/>
      <scheme val="minor"/>
    </font>
    <font>
      <sz val="12"/>
      <name val="Calibri"/>
      <family val="2"/>
      <scheme val="minor"/>
    </font>
    <font>
      <b/>
      <sz val="12"/>
      <name val="Calibri"/>
      <family val="2"/>
      <scheme val="minor"/>
    </font>
    <font>
      <b/>
      <sz val="12"/>
      <color theme="0" tint="-0.14999847407452621"/>
      <name val="Calibri"/>
      <family val="2"/>
      <scheme val="minor"/>
    </font>
    <font>
      <sz val="10"/>
      <color rgb="FF000000"/>
      <name val="Arial Unicode MS"/>
      <family val="2"/>
    </font>
    <font>
      <sz val="12"/>
      <color rgb="FF000000"/>
      <name val="Calibri"/>
      <family val="2"/>
      <scheme val="minor"/>
    </font>
    <font>
      <b/>
      <sz val="12"/>
      <color theme="0" tint="-4.9989318521683403E-2"/>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rgb="FF7030A0"/>
        <bgColor indexed="64"/>
      </patternFill>
    </fill>
    <fill>
      <patternFill patternType="solid">
        <fgColor rgb="FFFFFF00"/>
        <bgColor indexed="64"/>
      </patternFill>
    </fill>
    <fill>
      <patternFill patternType="solid">
        <fgColor theme="7" tint="-0.249977111117893"/>
        <bgColor indexed="64"/>
      </patternFill>
    </fill>
  </fills>
  <borders count="61">
    <border>
      <left/>
      <right/>
      <top/>
      <bottom/>
      <diagonal/>
    </border>
    <border>
      <left style="thin">
        <color auto="1"/>
      </left>
      <right style="thin">
        <color auto="1"/>
      </right>
      <top style="thin">
        <color auto="1"/>
      </top>
      <bottom style="thin">
        <color auto="1"/>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diagonal/>
    </border>
    <border>
      <left style="thin">
        <color auto="1"/>
      </left>
      <right style="thin">
        <color auto="1"/>
      </right>
      <top style="medium">
        <color auto="1"/>
      </top>
      <bottom style="thin">
        <color auto="1"/>
      </bottom>
      <diagonal/>
    </border>
    <border>
      <left style="medium">
        <color auto="1"/>
      </left>
      <right/>
      <top/>
      <bottom style="medium">
        <color auto="1"/>
      </bottom>
      <diagonal/>
    </border>
    <border>
      <left/>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bottom style="medium">
        <color indexed="64"/>
      </bottom>
      <diagonal/>
    </border>
    <border>
      <left style="thin">
        <color auto="1"/>
      </left>
      <right/>
      <top style="thin">
        <color auto="1"/>
      </top>
      <bottom style="medium">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top/>
      <bottom style="thin">
        <color auto="1"/>
      </bottom>
      <diagonal/>
    </border>
    <border>
      <left style="medium">
        <color indexed="64"/>
      </left>
      <right style="thin">
        <color auto="1"/>
      </right>
      <top style="medium">
        <color auto="1"/>
      </top>
      <bottom style="thin">
        <color indexed="64"/>
      </bottom>
      <diagonal/>
    </border>
    <border>
      <left style="medium">
        <color rgb="FF000000"/>
      </left>
      <right/>
      <top style="medium">
        <color indexed="64"/>
      </top>
      <bottom/>
      <diagonal/>
    </border>
    <border>
      <left style="medium">
        <color rgb="FF000000"/>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style="medium">
        <color rgb="FF000000"/>
      </left>
      <right/>
      <top/>
      <bottom style="medium">
        <color rgb="FF000000"/>
      </bottom>
      <diagonal/>
    </border>
    <border>
      <left/>
      <right style="medium">
        <color rgb="FF000000"/>
      </right>
      <top style="thin">
        <color auto="1"/>
      </top>
      <bottom style="thin">
        <color auto="1"/>
      </bottom>
      <diagonal/>
    </border>
    <border>
      <left/>
      <right style="medium">
        <color rgb="FF000000"/>
      </right>
      <top style="thin">
        <color auto="1"/>
      </top>
      <bottom style="medium">
        <color rgb="FF000000"/>
      </bottom>
      <diagonal/>
    </border>
    <border>
      <left style="medium">
        <color auto="1"/>
      </left>
      <right style="thin">
        <color auto="1"/>
      </right>
      <top/>
      <bottom/>
      <diagonal/>
    </border>
    <border>
      <left style="medium">
        <color indexed="64"/>
      </left>
      <right style="medium">
        <color rgb="FF000000"/>
      </right>
      <top/>
      <bottom/>
      <diagonal/>
    </border>
    <border>
      <left style="medium">
        <color rgb="FF000000"/>
      </left>
      <right style="medium">
        <color auto="1"/>
      </right>
      <top style="medium">
        <color auto="1"/>
      </top>
      <bottom style="medium">
        <color auto="1"/>
      </bottom>
      <diagonal/>
    </border>
    <border>
      <left style="medium">
        <color rgb="FF000000"/>
      </left>
      <right style="medium">
        <color auto="1"/>
      </right>
      <top style="medium">
        <color auto="1"/>
      </top>
      <bottom style="medium">
        <color rgb="FF000000"/>
      </bottom>
      <diagonal/>
    </border>
    <border>
      <left style="thin">
        <color auto="1"/>
      </left>
      <right style="thin">
        <color auto="1"/>
      </right>
      <top style="medium">
        <color rgb="FF000000"/>
      </top>
      <bottom style="thin">
        <color auto="1"/>
      </bottom>
      <diagonal/>
    </border>
    <border>
      <left style="thin">
        <color auto="1"/>
      </left>
      <right/>
      <top style="medium">
        <color rgb="FF000000"/>
      </top>
      <bottom style="thin">
        <color auto="1"/>
      </bottom>
      <diagonal/>
    </border>
    <border>
      <left style="medium">
        <color rgb="FF000000"/>
      </left>
      <right/>
      <top/>
      <bottom style="medium">
        <color auto="1"/>
      </bottom>
      <diagonal/>
    </border>
    <border>
      <left style="medium">
        <color rgb="FF000000"/>
      </left>
      <right/>
      <top style="medium">
        <color indexed="64"/>
      </top>
      <bottom style="medium">
        <color rgb="FF000000"/>
      </bottom>
      <diagonal/>
    </border>
    <border>
      <left/>
      <right style="medium">
        <color auto="1"/>
      </right>
      <top style="medium">
        <color rgb="FF000000"/>
      </top>
      <bottom/>
      <diagonal/>
    </border>
    <border>
      <left style="medium">
        <color indexed="64"/>
      </left>
      <right style="medium">
        <color indexed="64"/>
      </right>
      <top/>
      <bottom/>
      <diagonal/>
    </border>
    <border>
      <left/>
      <right/>
      <top style="medium">
        <color rgb="FF000000"/>
      </top>
      <bottom style="thin">
        <color auto="1"/>
      </bottom>
      <diagonal/>
    </border>
    <border>
      <left/>
      <right/>
      <top style="thin">
        <color auto="1"/>
      </top>
      <bottom style="medium">
        <color rgb="FF000000"/>
      </bottom>
      <diagonal/>
    </border>
    <border>
      <left style="medium">
        <color rgb="FF000000"/>
      </left>
      <right/>
      <top style="medium">
        <color rgb="FF000000"/>
      </top>
      <bottom style="thin">
        <color auto="1"/>
      </bottom>
      <diagonal/>
    </border>
    <border>
      <left style="medium">
        <color rgb="FF000000"/>
      </left>
      <right/>
      <top/>
      <bottom style="thin">
        <color auto="1"/>
      </bottom>
      <diagonal/>
    </border>
    <border>
      <left style="medium">
        <color rgb="FF000000"/>
      </left>
      <right/>
      <top style="thin">
        <color auto="1"/>
      </top>
      <bottom/>
      <diagonal/>
    </border>
    <border>
      <left style="medium">
        <color rgb="FF000000"/>
      </left>
      <right/>
      <top style="thin">
        <color auto="1"/>
      </top>
      <bottom style="medium">
        <color rgb="FF000000"/>
      </bottom>
      <diagonal/>
    </border>
    <border>
      <left style="medium">
        <color indexed="64"/>
      </left>
      <right style="thin">
        <color auto="1"/>
      </right>
      <top style="thin">
        <color auto="1"/>
      </top>
      <bottom/>
      <diagonal/>
    </border>
    <border>
      <left style="medium">
        <color indexed="64"/>
      </left>
      <right style="thin">
        <color auto="1"/>
      </right>
      <top style="medium">
        <color rgb="FF000000"/>
      </top>
      <bottom style="thin">
        <color auto="1"/>
      </bottom>
      <diagonal/>
    </border>
    <border>
      <left style="medium">
        <color indexed="64"/>
      </left>
      <right style="medium">
        <color rgb="FF000000"/>
      </right>
      <top/>
      <bottom style="medium">
        <color indexed="64"/>
      </bottom>
      <diagonal/>
    </border>
    <border>
      <left style="medium">
        <color indexed="64"/>
      </left>
      <right/>
      <top style="medium">
        <color indexed="64"/>
      </top>
      <bottom style="thin">
        <color auto="1"/>
      </bottom>
      <diagonal/>
    </border>
    <border>
      <left style="thin">
        <color auto="1"/>
      </left>
      <right/>
      <top style="medium">
        <color indexed="64"/>
      </top>
      <bottom style="thin">
        <color auto="1"/>
      </bottom>
      <diagonal/>
    </border>
    <border>
      <left style="medium">
        <color indexed="64"/>
      </left>
      <right/>
      <top/>
      <bottom style="thin">
        <color auto="1"/>
      </bottom>
      <diagonal/>
    </border>
  </borders>
  <cellStyleXfs count="1">
    <xf numFmtId="49" fontId="0" fillId="0" borderId="0"/>
  </cellStyleXfs>
  <cellXfs count="146">
    <xf numFmtId="49" fontId="0" fillId="0" borderId="0" xfId="0"/>
    <xf numFmtId="49" fontId="7" fillId="0" borderId="0" xfId="0" applyFont="1" applyAlignment="1">
      <alignment vertical="center"/>
    </xf>
    <xf numFmtId="49" fontId="0" fillId="3" borderId="21" xfId="0" applyFill="1" applyBorder="1"/>
    <xf numFmtId="49" fontId="0" fillId="3" borderId="2" xfId="0" applyFill="1" applyBorder="1"/>
    <xf numFmtId="49" fontId="0" fillId="3" borderId="3" xfId="0" applyFill="1" applyBorder="1"/>
    <xf numFmtId="49" fontId="0" fillId="3" borderId="4" xfId="0" applyFill="1" applyBorder="1"/>
    <xf numFmtId="49" fontId="0" fillId="3" borderId="0" xfId="0" applyFill="1"/>
    <xf numFmtId="49" fontId="0" fillId="3" borderId="5" xfId="0" applyFill="1" applyBorder="1"/>
    <xf numFmtId="49" fontId="0" fillId="3" borderId="17" xfId="0" applyFill="1" applyBorder="1"/>
    <xf numFmtId="49" fontId="0" fillId="3" borderId="22" xfId="0" applyFill="1" applyBorder="1"/>
    <xf numFmtId="49" fontId="0" fillId="3" borderId="20" xfId="0" applyFill="1" applyBorder="1"/>
    <xf numFmtId="49" fontId="0" fillId="3" borderId="16" xfId="0" applyFill="1" applyBorder="1"/>
    <xf numFmtId="1" fontId="0" fillId="3" borderId="21" xfId="0" applyNumberFormat="1" applyFill="1" applyBorder="1" applyAlignment="1">
      <alignment horizontal="center"/>
    </xf>
    <xf numFmtId="49" fontId="0" fillId="3" borderId="2" xfId="0" applyFill="1" applyBorder="1" applyAlignment="1">
      <alignment horizontal="center"/>
    </xf>
    <xf numFmtId="49" fontId="0" fillId="3" borderId="3" xfId="0" applyFill="1" applyBorder="1" applyAlignment="1">
      <alignment horizontal="center"/>
    </xf>
    <xf numFmtId="49" fontId="0" fillId="3" borderId="0" xfId="0" applyFill="1" applyAlignment="1">
      <alignment horizontal="center"/>
    </xf>
    <xf numFmtId="49" fontId="0" fillId="3" borderId="5" xfId="0" applyFill="1" applyBorder="1" applyAlignment="1">
      <alignment horizontal="center"/>
    </xf>
    <xf numFmtId="49" fontId="0" fillId="3" borderId="17" xfId="0" applyFill="1" applyBorder="1" applyAlignment="1">
      <alignment horizontal="center"/>
    </xf>
    <xf numFmtId="49" fontId="0" fillId="3" borderId="22" xfId="0" applyFill="1" applyBorder="1" applyAlignment="1">
      <alignment horizontal="center"/>
    </xf>
    <xf numFmtId="49" fontId="3" fillId="2" borderId="35" xfId="0" applyFont="1" applyFill="1" applyBorder="1" applyAlignment="1" applyProtection="1">
      <alignment horizontal="center" vertical="center" wrapText="1"/>
      <protection hidden="1"/>
    </xf>
    <xf numFmtId="9" fontId="1" fillId="0" borderId="0" xfId="0" applyNumberFormat="1" applyFont="1" applyAlignment="1" applyProtection="1">
      <alignment vertical="center"/>
      <protection hidden="1"/>
    </xf>
    <xf numFmtId="49" fontId="1" fillId="0" borderId="31" xfId="0" applyFont="1" applyBorder="1" applyAlignment="1" applyProtection="1">
      <alignment horizontal="center" vertical="center"/>
      <protection hidden="1"/>
    </xf>
    <xf numFmtId="49" fontId="1" fillId="0" borderId="0" xfId="0" applyFont="1" applyAlignment="1" applyProtection="1">
      <alignment vertical="center"/>
      <protection hidden="1"/>
    </xf>
    <xf numFmtId="1" fontId="3" fillId="2" borderId="37" xfId="0" applyNumberFormat="1" applyFont="1" applyFill="1" applyBorder="1" applyAlignment="1" applyProtection="1">
      <alignment horizontal="center" vertical="center" wrapText="1"/>
      <protection hidden="1"/>
    </xf>
    <xf numFmtId="1" fontId="3" fillId="2" borderId="38" xfId="0" applyNumberFormat="1" applyFont="1" applyFill="1" applyBorder="1" applyAlignment="1" applyProtection="1">
      <alignment horizontal="center" vertical="center" wrapText="1"/>
      <protection hidden="1"/>
    </xf>
    <xf numFmtId="49" fontId="1" fillId="0" borderId="0" xfId="0" applyFont="1" applyAlignment="1">
      <alignment horizontal="center" vertical="center"/>
    </xf>
    <xf numFmtId="165" fontId="3" fillId="0" borderId="0" xfId="0" applyNumberFormat="1" applyFont="1" applyAlignment="1">
      <alignment vertical="center"/>
    </xf>
    <xf numFmtId="0" fontId="3" fillId="2" borderId="36" xfId="0" applyNumberFormat="1" applyFont="1" applyFill="1" applyBorder="1" applyAlignment="1">
      <alignment vertical="center" wrapText="1"/>
    </xf>
    <xf numFmtId="9" fontId="1" fillId="0" borderId="0" xfId="0" applyNumberFormat="1" applyFont="1" applyAlignment="1">
      <alignment vertical="center"/>
    </xf>
    <xf numFmtId="49" fontId="1" fillId="0" borderId="0" xfId="0" applyFont="1" applyAlignment="1">
      <alignment vertical="center"/>
    </xf>
    <xf numFmtId="165" fontId="1" fillId="0" borderId="0" xfId="0" applyNumberFormat="1" applyFont="1" applyAlignment="1">
      <alignment horizontal="center" vertical="center"/>
    </xf>
    <xf numFmtId="164" fontId="1" fillId="0" borderId="0" xfId="0" applyNumberFormat="1" applyFont="1" applyAlignment="1">
      <alignment horizontal="left" vertical="center" wrapText="1"/>
    </xf>
    <xf numFmtId="1" fontId="1" fillId="0" borderId="0" xfId="0" applyNumberFormat="1" applyFont="1" applyAlignment="1">
      <alignment vertical="center"/>
    </xf>
    <xf numFmtId="0" fontId="4" fillId="0" borderId="1" xfId="0" applyNumberFormat="1" applyFont="1" applyBorder="1" applyAlignment="1" applyProtection="1">
      <alignment horizontal="left" vertical="center" wrapText="1"/>
      <protection locked="0"/>
    </xf>
    <xf numFmtId="0" fontId="4" fillId="0" borderId="14" xfId="0" applyNumberFormat="1" applyFont="1" applyBorder="1" applyAlignment="1" applyProtection="1">
      <alignment horizontal="left" vertical="center" wrapText="1"/>
      <protection locked="0"/>
    </xf>
    <xf numFmtId="1" fontId="2" fillId="0" borderId="0" xfId="0" applyNumberFormat="1" applyFont="1" applyAlignment="1" applyProtection="1">
      <alignment horizontal="right" vertical="center"/>
      <protection hidden="1"/>
    </xf>
    <xf numFmtId="165" fontId="2" fillId="0" borderId="0" xfId="0" applyNumberFormat="1" applyFont="1" applyAlignment="1" applyProtection="1">
      <alignment horizontal="center" vertical="center"/>
      <protection hidden="1"/>
    </xf>
    <xf numFmtId="49" fontId="3" fillId="2" borderId="41" xfId="0" applyFont="1" applyFill="1" applyBorder="1" applyAlignment="1" applyProtection="1">
      <alignment horizontal="right" vertical="center" wrapText="1"/>
      <protection hidden="1"/>
    </xf>
    <xf numFmtId="49" fontId="3" fillId="2" borderId="42" xfId="0" applyFont="1" applyFill="1" applyBorder="1" applyAlignment="1" applyProtection="1">
      <alignment horizontal="right" vertical="center" wrapText="1"/>
      <protection hidden="1"/>
    </xf>
    <xf numFmtId="165" fontId="3" fillId="0" borderId="0" xfId="0" applyNumberFormat="1" applyFont="1" applyAlignment="1" applyProtection="1">
      <alignment horizontal="center" vertical="center" wrapText="1"/>
      <protection hidden="1"/>
    </xf>
    <xf numFmtId="1" fontId="3" fillId="2" borderId="32" xfId="0" applyNumberFormat="1" applyFont="1" applyFill="1" applyBorder="1" applyAlignment="1" applyProtection="1">
      <alignment horizontal="center" vertical="center" wrapText="1"/>
      <protection hidden="1"/>
    </xf>
    <xf numFmtId="1" fontId="2" fillId="0" borderId="0" xfId="0" applyNumberFormat="1" applyFont="1" applyAlignment="1">
      <alignment horizontal="right" vertical="center"/>
    </xf>
    <xf numFmtId="165" fontId="2" fillId="0" borderId="0" xfId="0" applyNumberFormat="1" applyFont="1" applyAlignment="1">
      <alignment vertical="center"/>
    </xf>
    <xf numFmtId="0" fontId="4" fillId="0" borderId="43" xfId="0" applyNumberFormat="1" applyFont="1" applyBorder="1" applyAlignment="1" applyProtection="1">
      <alignment horizontal="left" vertical="center" wrapText="1"/>
      <protection locked="0"/>
    </xf>
    <xf numFmtId="49" fontId="3" fillId="2" borderId="46" xfId="0" applyFont="1" applyFill="1" applyBorder="1" applyAlignment="1">
      <alignment vertical="center" wrapText="1"/>
    </xf>
    <xf numFmtId="49" fontId="1" fillId="2" borderId="30" xfId="0" applyFont="1" applyFill="1" applyBorder="1" applyAlignment="1">
      <alignment vertical="center" wrapText="1"/>
    </xf>
    <xf numFmtId="49" fontId="1" fillId="2" borderId="0" xfId="0" applyFont="1" applyFill="1" applyAlignment="1">
      <alignment vertical="center" wrapText="1"/>
    </xf>
    <xf numFmtId="0" fontId="1" fillId="2" borderId="0" xfId="0" applyNumberFormat="1" applyFont="1" applyFill="1" applyAlignment="1">
      <alignment vertical="center" wrapText="1"/>
    </xf>
    <xf numFmtId="49" fontId="3" fillId="2" borderId="19" xfId="0" applyFont="1" applyFill="1" applyBorder="1" applyAlignment="1">
      <alignment horizontal="center" vertical="center" wrapText="1"/>
    </xf>
    <xf numFmtId="164" fontId="6" fillId="2" borderId="19" xfId="0" applyNumberFormat="1" applyFont="1" applyFill="1" applyBorder="1" applyAlignment="1" applyProtection="1">
      <alignment horizontal="center" vertical="center" wrapText="1"/>
      <protection hidden="1"/>
    </xf>
    <xf numFmtId="49" fontId="3" fillId="2" borderId="29" xfId="0" applyFont="1" applyFill="1" applyBorder="1" applyAlignment="1">
      <alignment vertical="center" wrapText="1"/>
    </xf>
    <xf numFmtId="49" fontId="3" fillId="2" borderId="0" xfId="0" applyFont="1" applyFill="1" applyAlignment="1">
      <alignment vertical="center" wrapText="1"/>
    </xf>
    <xf numFmtId="0" fontId="3" fillId="2" borderId="30" xfId="0" applyNumberFormat="1" applyFont="1" applyFill="1" applyBorder="1" applyAlignment="1">
      <alignment vertical="center" wrapText="1"/>
    </xf>
    <xf numFmtId="1" fontId="1" fillId="5" borderId="11" xfId="0" applyNumberFormat="1" applyFont="1" applyFill="1" applyBorder="1" applyAlignment="1">
      <alignment horizontal="center" vertical="center"/>
    </xf>
    <xf numFmtId="1" fontId="1" fillId="5" borderId="1" xfId="0" applyNumberFormat="1" applyFont="1" applyFill="1" applyBorder="1" applyAlignment="1">
      <alignment horizontal="center" vertical="center"/>
    </xf>
    <xf numFmtId="1" fontId="1" fillId="5" borderId="14" xfId="0" applyNumberFormat="1" applyFont="1" applyFill="1" applyBorder="1" applyAlignment="1">
      <alignment horizontal="center" vertical="center"/>
    </xf>
    <xf numFmtId="1" fontId="3" fillId="2" borderId="19" xfId="0" applyNumberFormat="1" applyFont="1" applyFill="1" applyBorder="1" applyAlignment="1">
      <alignment horizontal="center" vertical="center"/>
    </xf>
    <xf numFmtId="1" fontId="1" fillId="5" borderId="43" xfId="0" applyNumberFormat="1" applyFont="1" applyFill="1" applyBorder="1" applyAlignment="1">
      <alignment horizontal="center" vertical="center"/>
    </xf>
    <xf numFmtId="1" fontId="1" fillId="5" borderId="10" xfId="0" applyNumberFormat="1" applyFont="1" applyFill="1" applyBorder="1" applyAlignment="1">
      <alignment horizontal="center" vertical="center"/>
    </xf>
    <xf numFmtId="1" fontId="1" fillId="2" borderId="19" xfId="0" applyNumberFormat="1" applyFont="1" applyFill="1" applyBorder="1" applyAlignment="1">
      <alignment horizontal="center" vertical="center"/>
    </xf>
    <xf numFmtId="49" fontId="3" fillId="2" borderId="30" xfId="0" applyFont="1" applyFill="1" applyBorder="1" applyAlignment="1">
      <alignment vertical="center" wrapText="1"/>
    </xf>
    <xf numFmtId="1" fontId="3" fillId="2" borderId="0" xfId="0" applyNumberFormat="1" applyFont="1" applyFill="1" applyAlignment="1">
      <alignment horizontal="center" vertical="center" wrapText="1"/>
    </xf>
    <xf numFmtId="164" fontId="6" fillId="2" borderId="48" xfId="0" applyNumberFormat="1" applyFont="1" applyFill="1" applyBorder="1" applyAlignment="1" applyProtection="1">
      <alignment horizontal="center" vertical="center" wrapText="1"/>
      <protection hidden="1"/>
    </xf>
    <xf numFmtId="49" fontId="3" fillId="2" borderId="36" xfId="0" applyFont="1" applyFill="1" applyBorder="1" applyAlignment="1">
      <alignment vertical="center" wrapText="1"/>
    </xf>
    <xf numFmtId="0" fontId="3" fillId="2" borderId="0" xfId="0" applyNumberFormat="1" applyFont="1" applyFill="1" applyAlignment="1">
      <alignment vertical="center" wrapText="1"/>
    </xf>
    <xf numFmtId="165" fontId="3" fillId="3" borderId="18" xfId="0" applyNumberFormat="1" applyFont="1" applyFill="1" applyBorder="1" applyAlignment="1">
      <alignment horizontal="center" vertical="center" wrapText="1"/>
    </xf>
    <xf numFmtId="164" fontId="3" fillId="3" borderId="18" xfId="0" applyNumberFormat="1" applyFont="1" applyFill="1" applyBorder="1" applyAlignment="1">
      <alignment horizontal="center" vertical="center" wrapText="1"/>
    </xf>
    <xf numFmtId="1" fontId="3" fillId="3" borderId="18" xfId="0" applyNumberFormat="1" applyFont="1" applyFill="1" applyBorder="1" applyAlignment="1">
      <alignment horizontal="center" vertical="center" wrapText="1"/>
    </xf>
    <xf numFmtId="0" fontId="1" fillId="4" borderId="28" xfId="0" applyNumberFormat="1" applyFont="1" applyFill="1" applyBorder="1" applyAlignment="1" applyProtection="1">
      <alignment horizontal="center" vertical="center" wrapText="1"/>
      <protection locked="0"/>
    </xf>
    <xf numFmtId="1" fontId="4" fillId="2" borderId="5" xfId="0" applyNumberFormat="1" applyFont="1" applyFill="1" applyBorder="1" applyAlignment="1">
      <alignment vertical="center"/>
    </xf>
    <xf numFmtId="0" fontId="1" fillId="4" borderId="12" xfId="0" applyNumberFormat="1" applyFont="1" applyFill="1" applyBorder="1" applyAlignment="1" applyProtection="1">
      <alignment horizontal="center" vertical="center" wrapText="1"/>
      <protection locked="0"/>
    </xf>
    <xf numFmtId="0" fontId="1" fillId="4" borderId="6" xfId="0" applyNumberFormat="1" applyFont="1" applyFill="1" applyBorder="1" applyAlignment="1" applyProtection="1">
      <alignment horizontal="center" vertical="center" wrapText="1"/>
      <protection locked="0"/>
    </xf>
    <xf numFmtId="0" fontId="1" fillId="4" borderId="55" xfId="0" applyNumberFormat="1" applyFont="1" applyFill="1" applyBorder="1" applyAlignment="1" applyProtection="1">
      <alignment horizontal="center" vertical="center" wrapText="1"/>
      <protection locked="0"/>
    </xf>
    <xf numFmtId="1" fontId="5" fillId="2" borderId="3" xfId="0" applyNumberFormat="1" applyFont="1" applyFill="1" applyBorder="1" applyAlignment="1">
      <alignment horizontal="center" vertical="center"/>
    </xf>
    <xf numFmtId="0" fontId="1" fillId="4" borderId="56" xfId="0" applyNumberFormat="1" applyFont="1" applyFill="1" applyBorder="1" applyAlignment="1" applyProtection="1">
      <alignment horizontal="center" vertical="center" wrapText="1"/>
      <protection locked="0"/>
    </xf>
    <xf numFmtId="1" fontId="4" fillId="2" borderId="47" xfId="0" applyNumberFormat="1" applyFont="1" applyFill="1" applyBorder="1" applyAlignment="1">
      <alignment vertical="center"/>
    </xf>
    <xf numFmtId="0" fontId="1" fillId="4" borderId="39" xfId="0" applyNumberFormat="1" applyFont="1" applyFill="1" applyBorder="1" applyAlignment="1" applyProtection="1">
      <alignment horizontal="center" vertical="center" wrapText="1"/>
      <protection locked="0"/>
    </xf>
    <xf numFmtId="49" fontId="3" fillId="2" borderId="40" xfId="0" applyFont="1" applyFill="1" applyBorder="1" applyAlignment="1">
      <alignment horizontal="center" vertical="center" wrapText="1"/>
    </xf>
    <xf numFmtId="49" fontId="3" fillId="2" borderId="57" xfId="0" applyFont="1" applyFill="1" applyBorder="1" applyAlignment="1">
      <alignment horizontal="center" vertical="center" wrapText="1"/>
    </xf>
    <xf numFmtId="1" fontId="3" fillId="2" borderId="17" xfId="0" applyNumberFormat="1" applyFont="1" applyFill="1" applyBorder="1" applyAlignment="1">
      <alignment horizontal="center" vertical="center" wrapText="1"/>
    </xf>
    <xf numFmtId="164" fontId="6" fillId="2" borderId="20" xfId="0" applyNumberFormat="1" applyFont="1" applyFill="1" applyBorder="1" applyAlignment="1" applyProtection="1">
      <alignment horizontal="center" vertical="center" wrapText="1"/>
      <protection hidden="1"/>
    </xf>
    <xf numFmtId="1" fontId="5" fillId="2" borderId="22" xfId="0" applyNumberFormat="1" applyFont="1" applyFill="1" applyBorder="1" applyAlignment="1">
      <alignment horizontal="center" vertical="center"/>
    </xf>
    <xf numFmtId="1" fontId="1" fillId="5" borderId="15" xfId="0" applyNumberFormat="1" applyFont="1" applyFill="1" applyBorder="1" applyAlignment="1">
      <alignment horizontal="center" vertical="center"/>
    </xf>
    <xf numFmtId="0" fontId="4" fillId="0" borderId="15" xfId="0" applyNumberFormat="1" applyFont="1" applyBorder="1" applyAlignment="1" applyProtection="1">
      <alignment horizontal="left" vertical="center" wrapText="1"/>
      <protection locked="0"/>
    </xf>
    <xf numFmtId="1" fontId="4" fillId="2" borderId="3" xfId="0" applyNumberFormat="1" applyFont="1" applyFill="1" applyBorder="1" applyAlignment="1">
      <alignment vertical="center"/>
    </xf>
    <xf numFmtId="0" fontId="1" fillId="4" borderId="13" xfId="0" applyNumberFormat="1" applyFont="1" applyFill="1" applyBorder="1" applyAlignment="1" applyProtection="1">
      <alignment horizontal="center" vertical="center" wrapText="1"/>
      <protection locked="0"/>
    </xf>
    <xf numFmtId="1" fontId="4" fillId="2" borderId="22" xfId="0" applyNumberFormat="1" applyFont="1" applyFill="1" applyBorder="1" applyAlignment="1">
      <alignment vertical="center"/>
    </xf>
    <xf numFmtId="0" fontId="1" fillId="0" borderId="49" xfId="0" applyNumberFormat="1" applyFont="1" applyBorder="1" applyAlignment="1">
      <alignment horizontal="left" vertical="center" wrapText="1" indent="1"/>
    </xf>
    <xf numFmtId="0" fontId="1" fillId="0" borderId="27" xfId="0" applyNumberFormat="1" applyFont="1" applyBorder="1" applyAlignment="1">
      <alignment horizontal="left" vertical="center" wrapText="1" indent="1"/>
    </xf>
    <xf numFmtId="0" fontId="1" fillId="0" borderId="7" xfId="0" applyNumberFormat="1" applyFont="1" applyBorder="1" applyAlignment="1">
      <alignment horizontal="left" vertical="center" wrapText="1" indent="1"/>
    </xf>
    <xf numFmtId="0" fontId="1" fillId="0" borderId="58" xfId="0" applyNumberFormat="1" applyFont="1" applyBorder="1" applyAlignment="1">
      <alignment horizontal="left" vertical="center" wrapText="1" indent="1"/>
    </xf>
    <xf numFmtId="0" fontId="1" fillId="0" borderId="60" xfId="0" applyNumberFormat="1" applyFont="1" applyBorder="1" applyAlignment="1">
      <alignment horizontal="left" vertical="center" wrapText="1" indent="1"/>
    </xf>
    <xf numFmtId="0" fontId="1" fillId="0" borderId="4" xfId="0" applyNumberFormat="1" applyFont="1" applyBorder="1" applyAlignment="1">
      <alignment horizontal="left" vertical="center" wrapText="1" indent="1"/>
    </xf>
    <xf numFmtId="0" fontId="4" fillId="0" borderId="26" xfId="0" applyNumberFormat="1" applyFont="1" applyBorder="1" applyAlignment="1" applyProtection="1">
      <alignment horizontal="center" vertical="center"/>
      <protection locked="0"/>
    </xf>
    <xf numFmtId="0" fontId="4" fillId="0" borderId="9" xfId="0" applyNumberFormat="1" applyFont="1" applyBorder="1" applyAlignment="1" applyProtection="1">
      <alignment horizontal="center" vertical="center"/>
      <protection locked="0"/>
    </xf>
    <xf numFmtId="0" fontId="4" fillId="0" borderId="25" xfId="0" applyNumberFormat="1" applyFont="1" applyBorder="1" applyAlignment="1" applyProtection="1">
      <alignment horizontal="center" vertical="center"/>
      <protection locked="0"/>
    </xf>
    <xf numFmtId="0" fontId="5" fillId="2" borderId="21" xfId="0" applyNumberFormat="1" applyFont="1" applyFill="1" applyBorder="1" applyAlignment="1">
      <alignment horizontal="center" vertical="center"/>
    </xf>
    <xf numFmtId="0" fontId="4" fillId="0" borderId="44" xfId="0" applyNumberFormat="1" applyFont="1" applyBorder="1" applyAlignment="1" applyProtection="1">
      <alignment horizontal="center" vertical="center"/>
      <protection locked="0"/>
    </xf>
    <xf numFmtId="0" fontId="4" fillId="0" borderId="23" xfId="0" applyNumberFormat="1" applyFont="1" applyBorder="1" applyAlignment="1" applyProtection="1">
      <alignment horizontal="center" vertical="center"/>
      <protection locked="0"/>
    </xf>
    <xf numFmtId="0" fontId="4" fillId="2" borderId="21" xfId="0" applyNumberFormat="1" applyFont="1" applyFill="1" applyBorder="1" applyAlignment="1">
      <alignment horizontal="center" vertical="center"/>
    </xf>
    <xf numFmtId="0" fontId="4" fillId="0" borderId="1" xfId="0" applyNumberFormat="1" applyFont="1" applyBorder="1" applyAlignment="1" applyProtection="1">
      <alignment horizontal="center" vertical="center"/>
      <protection locked="0"/>
    </xf>
    <xf numFmtId="0" fontId="5" fillId="2" borderId="4" xfId="0" applyNumberFormat="1" applyFont="1" applyFill="1" applyBorder="1" applyAlignment="1">
      <alignment horizontal="center" vertical="center" wrapText="1"/>
    </xf>
    <xf numFmtId="0" fontId="4" fillId="0" borderId="59" xfId="0" applyNumberFormat="1" applyFont="1" applyBorder="1" applyAlignment="1" applyProtection="1">
      <alignment horizontal="center" vertical="center"/>
      <protection locked="0"/>
    </xf>
    <xf numFmtId="0" fontId="4" fillId="0" borderId="10" xfId="0" applyNumberFormat="1" applyFont="1" applyBorder="1" applyAlignment="1" applyProtection="1">
      <alignment horizontal="center" vertical="center"/>
      <protection locked="0"/>
    </xf>
    <xf numFmtId="0" fontId="4" fillId="0" borderId="49" xfId="0" applyNumberFormat="1" applyFont="1" applyBorder="1" applyAlignment="1">
      <alignment horizontal="left" vertical="center" wrapText="1" indent="1"/>
    </xf>
    <xf numFmtId="0" fontId="4" fillId="0" borderId="27" xfId="0" applyNumberFormat="1" applyFont="1" applyBorder="1" applyAlignment="1">
      <alignment horizontal="left" vertical="center" wrapText="1" indent="1"/>
    </xf>
    <xf numFmtId="0" fontId="4" fillId="0" borderId="24" xfId="0" applyNumberFormat="1" applyFont="1" applyBorder="1" applyAlignment="1">
      <alignment horizontal="left" vertical="center" wrapText="1" indent="1"/>
    </xf>
    <xf numFmtId="0" fontId="4" fillId="0" borderId="0" xfId="0" applyNumberFormat="1" applyFont="1" applyAlignment="1">
      <alignment horizontal="left" vertical="center" wrapText="1" indent="1"/>
    </xf>
    <xf numFmtId="0" fontId="4" fillId="0" borderId="50" xfId="0" applyNumberFormat="1" applyFont="1" applyBorder="1" applyAlignment="1">
      <alignment horizontal="left" vertical="center" wrapText="1" indent="1"/>
    </xf>
    <xf numFmtId="0" fontId="4" fillId="0" borderId="51" xfId="0" applyNumberFormat="1" applyFont="1" applyBorder="1" applyAlignment="1">
      <alignment horizontal="left" vertical="center" wrapText="1" indent="1"/>
    </xf>
    <xf numFmtId="0" fontId="4" fillId="0" borderId="52" xfId="0" applyNumberFormat="1" applyFont="1" applyBorder="1" applyAlignment="1">
      <alignment horizontal="left" vertical="center" wrapText="1" indent="1"/>
    </xf>
    <xf numFmtId="0" fontId="4" fillId="0" borderId="53" xfId="0" applyNumberFormat="1" applyFont="1" applyBorder="1" applyAlignment="1">
      <alignment horizontal="left" vertical="center" wrapText="1" indent="1"/>
    </xf>
    <xf numFmtId="0" fontId="4" fillId="0" borderId="54" xfId="0" applyNumberFormat="1" applyFont="1" applyBorder="1" applyAlignment="1">
      <alignment horizontal="left" vertical="center" wrapText="1" indent="1"/>
    </xf>
    <xf numFmtId="0" fontId="8" fillId="0" borderId="11" xfId="0" applyNumberFormat="1" applyFont="1" applyBorder="1" applyAlignment="1" applyProtection="1">
      <alignment horizontal="left" vertical="center" wrapText="1"/>
      <protection locked="0"/>
    </xf>
    <xf numFmtId="0" fontId="8" fillId="0" borderId="1" xfId="0" applyNumberFormat="1" applyFont="1" applyBorder="1" applyAlignment="1" applyProtection="1">
      <alignment horizontal="left" vertical="center" wrapText="1"/>
      <protection locked="0"/>
    </xf>
    <xf numFmtId="0" fontId="8" fillId="0" borderId="14" xfId="0" applyNumberFormat="1" applyFont="1" applyBorder="1" applyAlignment="1" applyProtection="1">
      <alignment horizontal="left" vertical="center" wrapText="1"/>
      <protection locked="0"/>
    </xf>
    <xf numFmtId="165" fontId="5" fillId="2" borderId="16" xfId="0" applyNumberFormat="1" applyFont="1" applyFill="1" applyBorder="1" applyAlignment="1">
      <alignment horizontal="center" vertical="center" wrapText="1"/>
    </xf>
    <xf numFmtId="9" fontId="3" fillId="3" borderId="20" xfId="0" applyNumberFormat="1" applyFont="1" applyFill="1" applyBorder="1" applyAlignment="1">
      <alignment horizontal="center" vertical="center" wrapText="1"/>
    </xf>
    <xf numFmtId="49" fontId="3" fillId="3" borderId="30" xfId="0" applyFont="1" applyFill="1" applyBorder="1" applyAlignment="1">
      <alignment horizontal="center" vertical="center" wrapText="1"/>
    </xf>
    <xf numFmtId="49" fontId="3" fillId="3" borderId="20" xfId="0" applyFont="1" applyFill="1" applyBorder="1" applyAlignment="1">
      <alignment horizontal="center" vertical="center" wrapText="1"/>
    </xf>
    <xf numFmtId="0" fontId="3" fillId="3" borderId="4" xfId="0" applyNumberFormat="1" applyFont="1" applyFill="1" applyBorder="1" applyAlignment="1">
      <alignment horizontal="center" vertical="center" wrapText="1"/>
    </xf>
    <xf numFmtId="0" fontId="1" fillId="0" borderId="0" xfId="0" applyNumberFormat="1" applyFont="1" applyAlignment="1">
      <alignment vertical="center"/>
    </xf>
    <xf numFmtId="49" fontId="9" fillId="6" borderId="18" xfId="0" applyFont="1" applyFill="1" applyBorder="1" applyAlignment="1">
      <alignment horizontal="center" vertical="center"/>
    </xf>
    <xf numFmtId="49" fontId="9" fillId="6" borderId="8" xfId="0" applyFont="1" applyFill="1" applyBorder="1" applyAlignment="1">
      <alignment vertical="center"/>
    </xf>
    <xf numFmtId="49" fontId="3" fillId="6" borderId="18" xfId="0" applyFont="1" applyFill="1" applyBorder="1" applyAlignment="1">
      <alignment vertical="center"/>
    </xf>
    <xf numFmtId="165" fontId="3" fillId="7" borderId="0" xfId="0" applyNumberFormat="1" applyFont="1" applyFill="1" applyAlignment="1">
      <alignment vertical="center"/>
    </xf>
    <xf numFmtId="0" fontId="9" fillId="6" borderId="7" xfId="0" applyNumberFormat="1" applyFont="1" applyFill="1" applyBorder="1" applyAlignment="1">
      <alignment horizontal="center" vertical="center"/>
    </xf>
    <xf numFmtId="0" fontId="9" fillId="6" borderId="8" xfId="0" applyNumberFormat="1" applyFont="1" applyFill="1" applyBorder="1" applyAlignment="1">
      <alignment horizontal="center" vertical="center"/>
    </xf>
    <xf numFmtId="9" fontId="3" fillId="3" borderId="19" xfId="0" applyNumberFormat="1" applyFont="1" applyFill="1" applyBorder="1" applyAlignment="1">
      <alignment horizontal="center" vertical="center" wrapText="1"/>
    </xf>
    <xf numFmtId="9" fontId="3" fillId="3" borderId="48" xfId="0" applyNumberFormat="1" applyFont="1" applyFill="1" applyBorder="1" applyAlignment="1">
      <alignment horizontal="center" vertical="center" wrapText="1"/>
    </xf>
    <xf numFmtId="9" fontId="3" fillId="3" borderId="20" xfId="0" applyNumberFormat="1" applyFont="1" applyFill="1" applyBorder="1" applyAlignment="1">
      <alignment horizontal="center" vertical="center" wrapText="1"/>
    </xf>
    <xf numFmtId="49" fontId="3" fillId="3" borderId="35" xfId="0" applyFont="1" applyFill="1" applyBorder="1" applyAlignment="1">
      <alignment horizontal="center" vertical="center" wrapText="1"/>
    </xf>
    <xf numFmtId="49" fontId="3" fillId="3" borderId="30" xfId="0" applyFont="1" applyFill="1" applyBorder="1" applyAlignment="1">
      <alignment horizontal="center" vertical="center" wrapText="1"/>
    </xf>
    <xf numFmtId="49" fontId="3" fillId="3" borderId="36" xfId="0" applyFont="1" applyFill="1" applyBorder="1" applyAlignment="1">
      <alignment horizontal="center" vertical="center" wrapText="1"/>
    </xf>
    <xf numFmtId="9" fontId="3" fillId="3" borderId="32" xfId="0" applyNumberFormat="1" applyFont="1" applyFill="1" applyBorder="1" applyAlignment="1">
      <alignment horizontal="center" vertical="center" wrapText="1"/>
    </xf>
    <xf numFmtId="9" fontId="3" fillId="3" borderId="33" xfId="0" applyNumberFormat="1" applyFont="1" applyFill="1" applyBorder="1" applyAlignment="1">
      <alignment horizontal="center" vertical="center" wrapText="1"/>
    </xf>
    <xf numFmtId="9" fontId="3" fillId="3" borderId="34" xfId="0" applyNumberFormat="1" applyFont="1" applyFill="1" applyBorder="1" applyAlignment="1">
      <alignment horizontal="center" vertical="center" wrapText="1"/>
    </xf>
    <xf numFmtId="49" fontId="3" fillId="3" borderId="45" xfId="0" applyFont="1" applyFill="1" applyBorder="1" applyAlignment="1">
      <alignment horizontal="center" vertical="center" wrapText="1"/>
    </xf>
    <xf numFmtId="9" fontId="3" fillId="3" borderId="35" xfId="0" applyNumberFormat="1" applyFont="1" applyFill="1" applyBorder="1" applyAlignment="1">
      <alignment horizontal="center" vertical="center" wrapText="1"/>
    </xf>
    <xf numFmtId="9" fontId="3" fillId="3" borderId="30" xfId="0" applyNumberFormat="1" applyFont="1" applyFill="1" applyBorder="1" applyAlignment="1">
      <alignment horizontal="center" vertical="center" wrapText="1"/>
    </xf>
    <xf numFmtId="9" fontId="3" fillId="3" borderId="36" xfId="0" applyNumberFormat="1" applyFont="1" applyFill="1" applyBorder="1" applyAlignment="1">
      <alignment horizontal="center" vertical="center" wrapText="1"/>
    </xf>
    <xf numFmtId="49" fontId="3" fillId="3" borderId="19" xfId="0" applyFont="1" applyFill="1" applyBorder="1" applyAlignment="1">
      <alignment horizontal="center" vertical="center" wrapText="1"/>
    </xf>
    <xf numFmtId="49" fontId="3" fillId="3" borderId="48" xfId="0" applyFont="1" applyFill="1" applyBorder="1" applyAlignment="1">
      <alignment horizontal="center" vertical="center" wrapText="1"/>
    </xf>
    <xf numFmtId="49" fontId="3" fillId="3" borderId="20" xfId="0" applyFont="1" applyFill="1" applyBorder="1" applyAlignment="1">
      <alignment horizontal="center" vertical="center" wrapText="1"/>
    </xf>
    <xf numFmtId="165" fontId="3" fillId="8" borderId="0" xfId="0" applyNumberFormat="1" applyFont="1" applyFill="1" applyAlignment="1">
      <alignment vertical="center"/>
    </xf>
    <xf numFmtId="165" fontId="3" fillId="2" borderId="0" xfId="0" applyNumberFormat="1" applyFont="1" applyFill="1" applyAlignment="1">
      <alignment vertical="center"/>
    </xf>
  </cellXfs>
  <cellStyles count="1">
    <cellStyle name="Normal" xfId="0" builtinId="0" customBuiltin="1"/>
  </cellStyles>
  <dxfs count="0"/>
  <tableStyles count="0" defaultTableStyle="TableStyleMedium2" defaultPivotStyle="PivotStyleLight16"/>
  <colors>
    <mruColors>
      <color rgb="FFD776EA"/>
      <color rgb="FFCC00FF"/>
      <color rgb="FFF2B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1</xdr:col>
      <xdr:colOff>476250</xdr:colOff>
      <xdr:row>3</xdr:row>
      <xdr:rowOff>85725</xdr:rowOff>
    </xdr:from>
    <xdr:ext cx="1577868" cy="264560"/>
    <xdr:sp macro="" textlink="">
      <xdr:nvSpPr>
        <xdr:cNvPr id="2" name="TextBox 1">
          <a:extLst>
            <a:ext uri="{FF2B5EF4-FFF2-40B4-BE49-F238E27FC236}">
              <a16:creationId xmlns:a16="http://schemas.microsoft.com/office/drawing/2014/main" id="{350A2EDB-C4DA-4A53-8237-4F6D372F8931}"/>
            </a:ext>
          </a:extLst>
        </xdr:cNvPr>
        <xdr:cNvSpPr txBox="1"/>
      </xdr:nvSpPr>
      <xdr:spPr>
        <a:xfrm>
          <a:off x="1085850" y="634365"/>
          <a:ext cx="1577868" cy="264560"/>
        </a:xfrm>
        <a:prstGeom prst="rect">
          <a:avLst/>
        </a:prstGeom>
        <a:solidFill>
          <a:srgbClr val="FFCC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This generates the seed.</a:t>
          </a:r>
        </a:p>
      </xdr:txBody>
    </xdr:sp>
    <xdr:clientData/>
  </xdr:oneCellAnchor>
  <xdr:oneCellAnchor>
    <xdr:from>
      <xdr:col>5</xdr:col>
      <xdr:colOff>123825</xdr:colOff>
      <xdr:row>0</xdr:row>
      <xdr:rowOff>38100</xdr:rowOff>
    </xdr:from>
    <xdr:ext cx="1554785" cy="264560"/>
    <xdr:sp macro="" textlink="">
      <xdr:nvSpPr>
        <xdr:cNvPr id="3" name="TextBox 2">
          <a:extLst>
            <a:ext uri="{FF2B5EF4-FFF2-40B4-BE49-F238E27FC236}">
              <a16:creationId xmlns:a16="http://schemas.microsoft.com/office/drawing/2014/main" id="{0C268D0E-493C-41B6-B10D-53782F1E7DC9}"/>
            </a:ext>
          </a:extLst>
        </xdr:cNvPr>
        <xdr:cNvSpPr txBox="1"/>
      </xdr:nvSpPr>
      <xdr:spPr>
        <a:xfrm>
          <a:off x="3171825" y="38100"/>
          <a:ext cx="1554785" cy="264560"/>
        </a:xfrm>
        <a:prstGeom prst="rect">
          <a:avLst/>
        </a:prstGeom>
        <a:solidFill>
          <a:srgbClr val="FFCC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A table of some primes!</a:t>
          </a:r>
        </a:p>
      </xdr:txBody>
    </xdr:sp>
    <xdr:clientData/>
  </xdr:oneCellAnchor>
  <xdr:oneCellAnchor>
    <xdr:from>
      <xdr:col>6</xdr:col>
      <xdr:colOff>180975</xdr:colOff>
      <xdr:row>23</xdr:row>
      <xdr:rowOff>47625</xdr:rowOff>
    </xdr:from>
    <xdr:ext cx="3319755" cy="953466"/>
    <xdr:sp macro="" textlink="">
      <xdr:nvSpPr>
        <xdr:cNvPr id="4" name="TextBox 3">
          <a:extLst>
            <a:ext uri="{FF2B5EF4-FFF2-40B4-BE49-F238E27FC236}">
              <a16:creationId xmlns:a16="http://schemas.microsoft.com/office/drawing/2014/main" id="{51F9FEE4-6ACE-477F-BEA8-FF073E84124F}"/>
            </a:ext>
          </a:extLst>
        </xdr:cNvPr>
        <xdr:cNvSpPr txBox="1"/>
      </xdr:nvSpPr>
      <xdr:spPr>
        <a:xfrm>
          <a:off x="3983355" y="4284345"/>
          <a:ext cx="3319755" cy="953466"/>
        </a:xfrm>
        <a:prstGeom prst="rect">
          <a:avLst/>
        </a:prstGeom>
        <a:solidFill>
          <a:srgbClr val="FFCC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The actual formula:</a:t>
          </a:r>
        </a:p>
        <a:p>
          <a:endParaRPr lang="en-US" sz="1100">
            <a:solidFill>
              <a:srgbClr val="FF0000"/>
            </a:solidFill>
          </a:endParaRPr>
        </a:p>
        <a:p>
          <a:r>
            <a:rPr lang="en-US" sz="1100">
              <a:solidFill>
                <a:srgbClr val="FF0000"/>
              </a:solidFill>
            </a:rPr>
            <a:t>    next = mod((current)*1103515245 +  12345, 32768)</a:t>
          </a:r>
          <a:r>
            <a:rPr lang="en-US" sz="1100" baseline="0">
              <a:solidFill>
                <a:srgbClr val="FF0000"/>
              </a:solidFill>
            </a:rPr>
            <a:t> </a:t>
          </a:r>
        </a:p>
        <a:p>
          <a:endParaRPr lang="en-US" sz="1100" baseline="0">
            <a:solidFill>
              <a:srgbClr val="FF0000"/>
            </a:solidFill>
          </a:endParaRPr>
        </a:p>
        <a:p>
          <a:r>
            <a:rPr lang="en-US" sz="1100" baseline="0">
              <a:solidFill>
                <a:srgbClr val="FF0000"/>
              </a:solidFill>
            </a:rPr>
            <a:t>The first value of "current" is "seed"</a:t>
          </a:r>
          <a:endParaRPr lang="en-US" sz="1100">
            <a:solidFill>
              <a:srgbClr val="FF0000"/>
            </a:solidFill>
          </a:endParaRPr>
        </a:p>
      </xdr:txBody>
    </xdr:sp>
    <xdr:clientData/>
  </xdr:oneCellAnchor>
  <xdr:twoCellAnchor>
    <xdr:from>
      <xdr:col>1</xdr:col>
      <xdr:colOff>571500</xdr:colOff>
      <xdr:row>11</xdr:row>
      <xdr:rowOff>152400</xdr:rowOff>
    </xdr:from>
    <xdr:to>
      <xdr:col>6</xdr:col>
      <xdr:colOff>180975</xdr:colOff>
      <xdr:row>25</xdr:row>
      <xdr:rowOff>143358</xdr:rowOff>
    </xdr:to>
    <xdr:cxnSp macro="">
      <xdr:nvCxnSpPr>
        <xdr:cNvPr id="5" name="Straight Arrow Connector 4">
          <a:extLst>
            <a:ext uri="{FF2B5EF4-FFF2-40B4-BE49-F238E27FC236}">
              <a16:creationId xmlns:a16="http://schemas.microsoft.com/office/drawing/2014/main" id="{C3191220-B935-4878-BBC6-B581494F84CD}"/>
            </a:ext>
          </a:extLst>
        </xdr:cNvPr>
        <xdr:cNvCxnSpPr>
          <a:stCxn id="4" idx="1"/>
        </xdr:cNvCxnSpPr>
      </xdr:nvCxnSpPr>
      <xdr:spPr>
        <a:xfrm flipH="1" flipV="1">
          <a:off x="1181100" y="2186940"/>
          <a:ext cx="2802255" cy="255889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190500</xdr:colOff>
      <xdr:row>29</xdr:row>
      <xdr:rowOff>104775</xdr:rowOff>
    </xdr:from>
    <xdr:ext cx="3218445" cy="264560"/>
    <xdr:sp macro="" textlink="">
      <xdr:nvSpPr>
        <xdr:cNvPr id="6" name="TextBox 5">
          <a:extLst>
            <a:ext uri="{FF2B5EF4-FFF2-40B4-BE49-F238E27FC236}">
              <a16:creationId xmlns:a16="http://schemas.microsoft.com/office/drawing/2014/main" id="{565D2C27-6DD7-4357-B212-2069A76F5632}"/>
            </a:ext>
          </a:extLst>
        </xdr:cNvPr>
        <xdr:cNvSpPr txBox="1"/>
      </xdr:nvSpPr>
      <xdr:spPr>
        <a:xfrm>
          <a:off x="3992880" y="5438775"/>
          <a:ext cx="3218445" cy="264560"/>
        </a:xfrm>
        <a:prstGeom prst="rect">
          <a:avLst/>
        </a:prstGeom>
        <a:solidFill>
          <a:srgbClr val="FFCC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Turn</a:t>
          </a:r>
          <a:r>
            <a:rPr lang="en-US" sz="1100" baseline="0">
              <a:solidFill>
                <a:srgbClr val="FF0000"/>
              </a:solidFill>
            </a:rPr>
            <a:t> the random int into a number between 0 and 1.</a:t>
          </a:r>
          <a:endParaRPr lang="en-US" sz="1100">
            <a:solidFill>
              <a:srgbClr val="FF0000"/>
            </a:solidFill>
          </a:endParaRPr>
        </a:p>
      </xdr:txBody>
    </xdr:sp>
    <xdr:clientData/>
  </xdr:oneCellAnchor>
  <xdr:twoCellAnchor>
    <xdr:from>
      <xdr:col>3</xdr:col>
      <xdr:colOff>552450</xdr:colOff>
      <xdr:row>11</xdr:row>
      <xdr:rowOff>142875</xdr:rowOff>
    </xdr:from>
    <xdr:to>
      <xdr:col>6</xdr:col>
      <xdr:colOff>190500</xdr:colOff>
      <xdr:row>30</xdr:row>
      <xdr:rowOff>46555</xdr:rowOff>
    </xdr:to>
    <xdr:cxnSp macro="">
      <xdr:nvCxnSpPr>
        <xdr:cNvPr id="7" name="Straight Arrow Connector 6">
          <a:extLst>
            <a:ext uri="{FF2B5EF4-FFF2-40B4-BE49-F238E27FC236}">
              <a16:creationId xmlns:a16="http://schemas.microsoft.com/office/drawing/2014/main" id="{D6C3E3ED-63C6-4FDC-A988-14E0615501E1}"/>
            </a:ext>
          </a:extLst>
        </xdr:cNvPr>
        <xdr:cNvCxnSpPr>
          <a:stCxn id="6" idx="1"/>
        </xdr:cNvCxnSpPr>
      </xdr:nvCxnSpPr>
      <xdr:spPr>
        <a:xfrm flipH="1" flipV="1">
          <a:off x="2381250" y="2177415"/>
          <a:ext cx="1611630" cy="33860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86883-31BC-4A47-B37B-5CE3AF7AE6BD}">
  <dimension ref="A1:J123"/>
  <sheetViews>
    <sheetView tabSelected="1" topLeftCell="A24" zoomScaleNormal="100" workbookViewId="0">
      <selection activeCell="H37" sqref="H37"/>
    </sheetView>
  </sheetViews>
  <sheetFormatPr defaultColWidth="8.83203125" defaultRowHeight="15.75" customHeight="1"/>
  <cols>
    <col min="1" max="1" width="14.5" style="25" customWidth="1"/>
    <col min="2" max="2" width="14.83203125" style="28" bestFit="1" customWidth="1"/>
    <col min="3" max="3" width="60.58203125" style="29" customWidth="1"/>
    <col min="4" max="4" width="15.58203125" style="29" customWidth="1"/>
    <col min="5" max="5" width="7.58203125" style="30" bestFit="1" customWidth="1"/>
    <col min="6" max="6" width="10.5" style="30" bestFit="1" customWidth="1"/>
    <col min="7" max="7" width="51.08203125" style="31" customWidth="1"/>
    <col min="8" max="8" width="13.58203125" style="32" bestFit="1" customWidth="1"/>
    <col min="9" max="9" width="8.25" style="26" customWidth="1"/>
    <col min="10" max="10" width="28.83203125" style="29" customWidth="1"/>
    <col min="11" max="16384" width="8.83203125" style="29"/>
  </cols>
  <sheetData>
    <row r="1" spans="1:10" ht="15.65" customHeight="1" thickBot="1">
      <c r="A1" s="126"/>
      <c r="B1" s="127"/>
      <c r="C1" s="122" t="s">
        <v>58</v>
      </c>
      <c r="D1" s="123"/>
      <c r="E1" s="124"/>
      <c r="F1" s="124"/>
      <c r="G1" s="124"/>
      <c r="H1" s="124"/>
    </row>
    <row r="2" spans="1:10" ht="31.5" thickBot="1">
      <c r="A2" s="118" t="s">
        <v>0</v>
      </c>
      <c r="B2" s="117" t="s">
        <v>1</v>
      </c>
      <c r="C2" s="120" t="s">
        <v>2</v>
      </c>
      <c r="D2" s="119" t="s">
        <v>3</v>
      </c>
      <c r="E2" s="65" t="s">
        <v>4</v>
      </c>
      <c r="F2" s="65" t="s">
        <v>5</v>
      </c>
      <c r="G2" s="66" t="s">
        <v>6</v>
      </c>
      <c r="H2" s="67" t="s">
        <v>7</v>
      </c>
      <c r="J2" s="121"/>
    </row>
    <row r="3" spans="1:10" ht="46.5">
      <c r="A3" s="131" t="s">
        <v>8</v>
      </c>
      <c r="B3" s="134">
        <v>0.19</v>
      </c>
      <c r="C3" s="104" t="s">
        <v>9</v>
      </c>
      <c r="D3" s="68"/>
      <c r="E3" s="53">
        <v>1</v>
      </c>
      <c r="F3" s="93"/>
      <c r="G3" s="113"/>
      <c r="H3" s="69"/>
      <c r="J3" s="121"/>
    </row>
    <row r="4" spans="1:10" ht="31">
      <c r="A4" s="132"/>
      <c r="B4" s="135"/>
      <c r="C4" s="105" t="s">
        <v>10</v>
      </c>
      <c r="D4" s="70"/>
      <c r="E4" s="54">
        <v>6</v>
      </c>
      <c r="F4" s="94"/>
      <c r="G4" s="114"/>
      <c r="H4" s="69"/>
    </row>
    <row r="5" spans="1:10" ht="46.5">
      <c r="A5" s="132"/>
      <c r="B5" s="135"/>
      <c r="C5" s="106" t="s">
        <v>11</v>
      </c>
      <c r="D5" s="71"/>
      <c r="E5" s="54">
        <v>4</v>
      </c>
      <c r="F5" s="94"/>
      <c r="G5" s="114"/>
      <c r="H5" s="69"/>
    </row>
    <row r="6" spans="1:10" ht="46.5">
      <c r="A6" s="132"/>
      <c r="B6" s="135"/>
      <c r="C6" s="105" t="s">
        <v>12</v>
      </c>
      <c r="D6" s="71"/>
      <c r="E6" s="54">
        <v>6</v>
      </c>
      <c r="F6" s="94"/>
      <c r="G6" s="114"/>
      <c r="H6" s="69"/>
    </row>
    <row r="7" spans="1:10" ht="62">
      <c r="A7" s="132"/>
      <c r="B7" s="135"/>
      <c r="C7" s="107" t="s">
        <v>13</v>
      </c>
      <c r="D7" s="71"/>
      <c r="E7" s="54">
        <v>6</v>
      </c>
      <c r="F7" s="94"/>
      <c r="G7" s="114"/>
      <c r="H7" s="69"/>
    </row>
    <row r="8" spans="1:10" ht="31">
      <c r="A8" s="133"/>
      <c r="B8" s="136"/>
      <c r="C8" s="108" t="s">
        <v>14</v>
      </c>
      <c r="D8" s="72"/>
      <c r="E8" s="55">
        <v>3</v>
      </c>
      <c r="F8" s="95"/>
      <c r="G8" s="115"/>
      <c r="H8" s="69"/>
    </row>
    <row r="9" spans="1:10" ht="16" thickBot="1">
      <c r="A9" s="45"/>
      <c r="B9" s="46"/>
      <c r="C9" s="47"/>
      <c r="D9" s="48" t="s">
        <v>15</v>
      </c>
      <c r="E9" s="56">
        <f>SUM(E3:E8)</f>
        <v>26</v>
      </c>
      <c r="F9" s="96">
        <f>SUM(F3:F8)</f>
        <v>0</v>
      </c>
      <c r="G9" s="49">
        <f>F9/E9</f>
        <v>0</v>
      </c>
      <c r="H9" s="73">
        <f>IF(G9&gt;=0.95,5,IF(G9&gt;=0.8,4,IF(G9&gt;=0.6,3,IF(G9&gt;=0.35,2,1))))</f>
        <v>1</v>
      </c>
      <c r="I9" s="125">
        <f>(F9/E9)*33.25</f>
        <v>0</v>
      </c>
      <c r="J9" s="29" t="s">
        <v>59</v>
      </c>
    </row>
    <row r="10" spans="1:10" ht="31">
      <c r="A10" s="131" t="s">
        <v>16</v>
      </c>
      <c r="B10" s="138">
        <v>0.19</v>
      </c>
      <c r="C10" s="109" t="s">
        <v>17</v>
      </c>
      <c r="D10" s="74"/>
      <c r="E10" s="57">
        <v>1</v>
      </c>
      <c r="F10" s="97"/>
      <c r="G10" s="43"/>
      <c r="H10" s="75"/>
    </row>
    <row r="11" spans="1:10" ht="69.650000000000006" customHeight="1">
      <c r="A11" s="132"/>
      <c r="B11" s="139"/>
      <c r="C11" s="110" t="s">
        <v>18</v>
      </c>
      <c r="D11" s="70"/>
      <c r="E11" s="54">
        <v>5</v>
      </c>
      <c r="F11" s="94"/>
      <c r="G11" s="33"/>
      <c r="H11" s="69"/>
    </row>
    <row r="12" spans="1:10" ht="33.65" customHeight="1">
      <c r="A12" s="132"/>
      <c r="B12" s="139"/>
      <c r="C12" s="111" t="s">
        <v>19</v>
      </c>
      <c r="D12" s="70"/>
      <c r="E12" s="55">
        <v>2</v>
      </c>
      <c r="F12" s="95"/>
      <c r="G12" s="34"/>
      <c r="H12" s="69"/>
    </row>
    <row r="13" spans="1:10" ht="67.150000000000006" customHeight="1">
      <c r="A13" s="132"/>
      <c r="B13" s="139"/>
      <c r="C13" s="111" t="s">
        <v>20</v>
      </c>
      <c r="D13" s="70"/>
      <c r="E13" s="55">
        <v>8</v>
      </c>
      <c r="F13" s="95"/>
      <c r="G13" s="34"/>
      <c r="H13" s="69"/>
    </row>
    <row r="14" spans="1:10" ht="49.9" customHeight="1">
      <c r="A14" s="132"/>
      <c r="B14" s="139"/>
      <c r="C14" s="111" t="s">
        <v>21</v>
      </c>
      <c r="D14" s="70"/>
      <c r="E14" s="55">
        <v>8</v>
      </c>
      <c r="F14" s="95"/>
      <c r="G14" s="34"/>
      <c r="H14" s="69"/>
    </row>
    <row r="15" spans="1:10" ht="31.5" thickBot="1">
      <c r="A15" s="137"/>
      <c r="B15" s="140"/>
      <c r="C15" s="112" t="s">
        <v>14</v>
      </c>
      <c r="D15" s="71"/>
      <c r="E15" s="58">
        <v>3</v>
      </c>
      <c r="F15" s="98"/>
      <c r="G15" s="34"/>
      <c r="H15" s="69"/>
    </row>
    <row r="16" spans="1:10" ht="16" thickBot="1">
      <c r="A16" s="50"/>
      <c r="B16" s="51"/>
      <c r="C16" s="64"/>
      <c r="D16" s="48" t="s">
        <v>15</v>
      </c>
      <c r="E16" s="59">
        <f>SUM(E10:E15)</f>
        <v>27</v>
      </c>
      <c r="F16" s="99">
        <f>SUM(F10:F15)</f>
        <v>0</v>
      </c>
      <c r="G16" s="49">
        <f>F16/E16</f>
        <v>0</v>
      </c>
      <c r="H16" s="73">
        <f>IF(G16&gt;=0.95,5,IF(G16&gt;=0.8,4,IF(G16&gt;=0.6,3,IF(G16&gt;=0.35,2,1))))</f>
        <v>1</v>
      </c>
      <c r="I16" s="125">
        <f>(F16/E16)*33.25</f>
        <v>0</v>
      </c>
      <c r="J16" s="29" t="s">
        <v>59</v>
      </c>
    </row>
    <row r="17" spans="1:10" ht="62">
      <c r="A17" s="141" t="s">
        <v>22</v>
      </c>
      <c r="B17" s="128">
        <v>0.19</v>
      </c>
      <c r="C17" s="87" t="s">
        <v>23</v>
      </c>
      <c r="D17" s="74"/>
      <c r="E17" s="57">
        <v>5</v>
      </c>
      <c r="F17" s="97"/>
      <c r="G17" s="43"/>
      <c r="H17" s="75"/>
    </row>
    <row r="18" spans="1:10" ht="46.5">
      <c r="A18" s="142"/>
      <c r="B18" s="129"/>
      <c r="C18" s="88" t="s">
        <v>24</v>
      </c>
      <c r="D18" s="70"/>
      <c r="E18" s="54">
        <v>24</v>
      </c>
      <c r="F18" s="94"/>
      <c r="G18" s="33"/>
      <c r="H18" s="69"/>
    </row>
    <row r="19" spans="1:10" ht="47" thickBot="1">
      <c r="A19" s="142"/>
      <c r="B19" s="129"/>
      <c r="C19" s="88" t="s">
        <v>25</v>
      </c>
      <c r="D19" s="70"/>
      <c r="E19" s="54">
        <v>9</v>
      </c>
      <c r="F19" s="94"/>
      <c r="G19" s="33"/>
      <c r="H19" s="69"/>
    </row>
    <row r="20" spans="1:10" ht="31.5" thickBot="1">
      <c r="A20" s="143"/>
      <c r="B20" s="130"/>
      <c r="C20" s="89" t="s">
        <v>26</v>
      </c>
      <c r="D20" s="71"/>
      <c r="E20" s="54">
        <v>4</v>
      </c>
      <c r="F20" s="100"/>
      <c r="G20" s="33"/>
      <c r="H20" s="69"/>
    </row>
    <row r="21" spans="1:10" ht="16" thickBot="1">
      <c r="A21" s="50"/>
      <c r="B21" s="60"/>
      <c r="C21" s="52"/>
      <c r="D21" s="77" t="s">
        <v>15</v>
      </c>
      <c r="E21" s="61">
        <f>SUM(E17:E20)</f>
        <v>42</v>
      </c>
      <c r="F21" s="101">
        <f>SUM(F17:F20)</f>
        <v>0</v>
      </c>
      <c r="G21" s="62">
        <f>F21/E21</f>
        <v>0</v>
      </c>
      <c r="H21" s="73">
        <f>IF(G21&gt;=0.95,5,IF(G21&gt;=0.8,4,IF(G21&gt;=0.6,3,IF(G21&gt;=0.35,2,1))))</f>
        <v>1</v>
      </c>
      <c r="I21" s="125">
        <f>(F21/E21)*33.25</f>
        <v>0</v>
      </c>
      <c r="J21" s="29" t="s">
        <v>59</v>
      </c>
    </row>
    <row r="22" spans="1:10" ht="62">
      <c r="A22" s="141" t="s">
        <v>27</v>
      </c>
      <c r="B22" s="128">
        <v>0.19</v>
      </c>
      <c r="C22" s="90" t="s">
        <v>28</v>
      </c>
      <c r="D22" s="68"/>
      <c r="E22" s="82">
        <v>16</v>
      </c>
      <c r="F22" s="102"/>
      <c r="G22" s="83"/>
      <c r="H22" s="84"/>
    </row>
    <row r="23" spans="1:10" ht="62">
      <c r="A23" s="142"/>
      <c r="B23" s="129"/>
      <c r="C23" s="91" t="s">
        <v>29</v>
      </c>
      <c r="D23" s="70"/>
      <c r="E23" s="54">
        <v>5</v>
      </c>
      <c r="F23" s="94"/>
      <c r="G23" s="33"/>
      <c r="H23" s="69"/>
    </row>
    <row r="24" spans="1:10" ht="77.5">
      <c r="A24" s="142"/>
      <c r="B24" s="129"/>
      <c r="C24" s="91" t="s">
        <v>30</v>
      </c>
      <c r="D24" s="70"/>
      <c r="E24" s="54">
        <v>5</v>
      </c>
      <c r="F24" s="94"/>
      <c r="G24" s="33"/>
      <c r="H24" s="69"/>
    </row>
    <row r="25" spans="1:10" ht="31">
      <c r="A25" s="142"/>
      <c r="B25" s="129"/>
      <c r="C25" s="91" t="s">
        <v>31</v>
      </c>
      <c r="D25" s="70"/>
      <c r="E25" s="54">
        <v>3</v>
      </c>
      <c r="F25" s="94"/>
      <c r="G25" s="33"/>
      <c r="H25" s="69"/>
    </row>
    <row r="26" spans="1:10" ht="46.5">
      <c r="A26" s="142"/>
      <c r="B26" s="129"/>
      <c r="C26" s="91" t="s">
        <v>32</v>
      </c>
      <c r="D26" s="70"/>
      <c r="E26" s="54">
        <v>5</v>
      </c>
      <c r="F26" s="94"/>
      <c r="G26" s="33"/>
      <c r="H26" s="69"/>
    </row>
    <row r="27" spans="1:10" ht="47" thickBot="1">
      <c r="A27" s="142"/>
      <c r="B27" s="129"/>
      <c r="C27" s="92" t="s">
        <v>33</v>
      </c>
      <c r="D27" s="76"/>
      <c r="E27" s="55">
        <v>6</v>
      </c>
      <c r="F27" s="95"/>
      <c r="G27" s="34"/>
      <c r="H27" s="69"/>
    </row>
    <row r="28" spans="1:10" ht="31.5" thickBot="1">
      <c r="A28" s="143"/>
      <c r="B28" s="130"/>
      <c r="C28" s="89" t="s">
        <v>34</v>
      </c>
      <c r="D28" s="85"/>
      <c r="E28" s="58">
        <v>4</v>
      </c>
      <c r="F28" s="103"/>
      <c r="G28" s="33"/>
      <c r="H28" s="86"/>
    </row>
    <row r="29" spans="1:10" ht="16" thickBot="1">
      <c r="A29" s="44"/>
      <c r="B29" s="63"/>
      <c r="C29" s="27"/>
      <c r="D29" s="78" t="s">
        <v>15</v>
      </c>
      <c r="E29" s="79">
        <f>SUM(E22:E28)</f>
        <v>44</v>
      </c>
      <c r="F29" s="116">
        <f>SUM(F22:F28)</f>
        <v>0</v>
      </c>
      <c r="G29" s="80">
        <f>F29/E29</f>
        <v>0</v>
      </c>
      <c r="H29" s="81">
        <f>IF(G29&gt;=0.95,5,IF(G29&gt;=0.8,4,IF(G29&gt;=0.6,3,IF(G29&gt;=0.35,2,1))))</f>
        <v>1</v>
      </c>
      <c r="I29" s="125">
        <f>(F29/E29)*33.25</f>
        <v>0</v>
      </c>
      <c r="J29" s="29" t="s">
        <v>59</v>
      </c>
    </row>
    <row r="30" spans="1:10" ht="21">
      <c r="H30" s="41"/>
      <c r="I30" s="42"/>
    </row>
    <row r="31" spans="1:10" ht="16" thickBot="1">
      <c r="I31" s="145">
        <f>I29+I21+I16+I9</f>
        <v>0</v>
      </c>
      <c r="J31" s="29" t="s">
        <v>60</v>
      </c>
    </row>
    <row r="32" spans="1:10" ht="16" thickBot="1">
      <c r="B32" s="20"/>
      <c r="C32" s="19" t="s">
        <v>0</v>
      </c>
      <c r="D32" s="40" t="s">
        <v>7</v>
      </c>
      <c r="E32" s="39"/>
      <c r="I32" s="145"/>
      <c r="J32" s="29" t="s">
        <v>61</v>
      </c>
    </row>
    <row r="33" spans="2:10" ht="16" thickBot="1">
      <c r="B33" s="20"/>
      <c r="C33" s="37" t="str">
        <f>A3</f>
        <v>Income and Projection (Calculations)</v>
      </c>
      <c r="D33" s="23">
        <f>H9</f>
        <v>1</v>
      </c>
      <c r="E33" s="39"/>
      <c r="I33" s="144">
        <f>I31+I32</f>
        <v>0</v>
      </c>
      <c r="J33" s="29" t="s">
        <v>62</v>
      </c>
    </row>
    <row r="34" spans="2:10" ht="16" thickBot="1">
      <c r="B34" s="20"/>
      <c r="C34" s="37" t="str">
        <f>A10</f>
        <v>Student Loans (Calculations)</v>
      </c>
      <c r="D34" s="23">
        <f>H16</f>
        <v>1</v>
      </c>
      <c r="E34" s="39"/>
    </row>
    <row r="35" spans="2:10" ht="16" thickBot="1">
      <c r="B35" s="20"/>
      <c r="C35" s="37" t="str">
        <f>A17</f>
        <v>Credit Cards (Calculations)</v>
      </c>
      <c r="D35" s="23">
        <f>H21</f>
        <v>1</v>
      </c>
      <c r="E35" s="39"/>
    </row>
    <row r="36" spans="2:10" ht="16" thickBot="1">
      <c r="B36" s="20"/>
      <c r="C36" s="38" t="str">
        <f>A22</f>
        <v>Annual Budget (Calculations)</v>
      </c>
      <c r="D36" s="24">
        <f>H29</f>
        <v>1</v>
      </c>
      <c r="E36" s="39"/>
    </row>
    <row r="37" spans="2:10" ht="21">
      <c r="B37" s="20"/>
      <c r="C37" s="22"/>
      <c r="D37" s="35"/>
      <c r="E37" s="36"/>
    </row>
    <row r="38" spans="2:10" ht="15.5">
      <c r="B38" s="20"/>
    </row>
    <row r="39" spans="2:10" ht="15.5">
      <c r="B39" s="20"/>
    </row>
    <row r="40" spans="2:10" ht="15.5">
      <c r="B40" s="20"/>
    </row>
    <row r="41" spans="2:10" ht="15.5">
      <c r="B41" s="20"/>
    </row>
    <row r="42" spans="2:10" ht="15.5">
      <c r="B42" s="20"/>
    </row>
    <row r="43" spans="2:10" ht="15.5">
      <c r="B43" s="20"/>
    </row>
    <row r="44" spans="2:10" ht="16" thickBot="1">
      <c r="B44" s="20"/>
    </row>
    <row r="45" spans="2:10" ht="16" thickBot="1">
      <c r="B45" s="21"/>
    </row>
    <row r="46" spans="2:10" ht="15.5"/>
    <row r="47" spans="2:10" ht="15.5"/>
    <row r="48" spans="2:10" ht="15.5"/>
    <row r="49" ht="15.5"/>
    <row r="50" ht="15.5"/>
    <row r="51" ht="15.5"/>
    <row r="52" ht="15.5"/>
    <row r="53" ht="15.5"/>
    <row r="54" ht="15.5"/>
    <row r="55" ht="15.5"/>
    <row r="56" ht="15.5"/>
    <row r="57" ht="15.5"/>
    <row r="58" ht="15.5"/>
    <row r="59" ht="15.5"/>
    <row r="60" ht="15.5"/>
    <row r="61" ht="15.5"/>
    <row r="62" ht="15.5"/>
    <row r="63" ht="15.5"/>
    <row r="64" ht="15.5"/>
    <row r="65" ht="15.5"/>
    <row r="66" ht="15.5"/>
    <row r="67" ht="15.5"/>
    <row r="68" ht="15.5"/>
    <row r="69" ht="15.5"/>
    <row r="70" ht="15.5"/>
    <row r="71" ht="15.5"/>
    <row r="72" ht="15.5"/>
    <row r="73" ht="15.5"/>
    <row r="74" ht="15.5"/>
    <row r="75" ht="15.5"/>
    <row r="76" ht="15.5"/>
    <row r="77" ht="15.5"/>
    <row r="78" ht="15.5"/>
    <row r="79" ht="15.5"/>
    <row r="80" ht="15.5"/>
    <row r="81" ht="15.5"/>
    <row r="82" ht="15.5"/>
    <row r="83" ht="15.5"/>
    <row r="84" ht="15.5"/>
    <row r="85" ht="15.5"/>
    <row r="86" ht="15.5"/>
    <row r="87" ht="15.5"/>
    <row r="88" ht="15.5"/>
    <row r="89" ht="15.5"/>
    <row r="90" ht="15.5"/>
    <row r="91" ht="15.5"/>
    <row r="92" ht="15.5"/>
    <row r="93" ht="15.5"/>
    <row r="94" ht="15.5"/>
    <row r="95" ht="15.5"/>
    <row r="96" ht="15.5"/>
    <row r="97" ht="15.5"/>
    <row r="98" ht="15.5"/>
    <row r="99" ht="15.5"/>
    <row r="100" ht="15.5"/>
    <row r="101" ht="15.5"/>
    <row r="102" ht="15.5"/>
    <row r="103" ht="15.5"/>
    <row r="104" ht="15.5"/>
    <row r="105" ht="15.5"/>
    <row r="106" ht="15.5"/>
    <row r="107" ht="15.5"/>
    <row r="108" ht="15.5"/>
    <row r="109" ht="15.5"/>
    <row r="110" ht="15.5"/>
    <row r="111" ht="15.5"/>
    <row r="112" ht="15.5"/>
    <row r="113" ht="15.5"/>
    <row r="114" ht="15.5"/>
    <row r="115" ht="15.5"/>
    <row r="116" ht="15.5"/>
    <row r="117" ht="15.5"/>
    <row r="118" ht="15.5"/>
    <row r="119" ht="15.5"/>
    <row r="120" ht="15.5"/>
    <row r="121" ht="15.5"/>
    <row r="122" ht="15.5"/>
    <row r="123" ht="15.5"/>
  </sheetData>
  <sheetProtection formatCells="0" formatColumns="0" formatRows="0" insertColumns="0" insertRows="0" insertHyperlinks="0" deleteColumns="0" deleteRows="0"/>
  <protectedRanges>
    <protectedRange sqref="F3:G8" name="Range1_1"/>
    <protectedRange sqref="F10:G15" name="Range2_1"/>
    <protectedRange sqref="F17:G20" name="Range3_1"/>
    <protectedRange sqref="F22:G28" name="Range4_1"/>
    <protectedRange sqref="D3:D8" name="Range5_1"/>
    <protectedRange sqref="D10:D15" name="Range6_1"/>
    <protectedRange sqref="D17:D20" name="Range7_1"/>
    <protectedRange sqref="D22:D28" name="Range8_1"/>
  </protectedRanges>
  <mergeCells count="9">
    <mergeCell ref="A1:B1"/>
    <mergeCell ref="B22:B28"/>
    <mergeCell ref="A3:A8"/>
    <mergeCell ref="B3:B8"/>
    <mergeCell ref="A10:A15"/>
    <mergeCell ref="B10:B15"/>
    <mergeCell ref="A17:A20"/>
    <mergeCell ref="B17:B20"/>
    <mergeCell ref="A22:A2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251CD-F85C-4BF5-A646-A361CB3C193A}">
  <dimension ref="A1:W33"/>
  <sheetViews>
    <sheetView workbookViewId="0">
      <selection activeCell="B6" sqref="B6:B10"/>
    </sheetView>
  </sheetViews>
  <sheetFormatPr defaultColWidth="8.83203125" defaultRowHeight="15.5"/>
  <cols>
    <col min="6" max="6" width="9.83203125" bestFit="1" customWidth="1"/>
  </cols>
  <sheetData>
    <row r="1" spans="1:23">
      <c r="G1" s="2"/>
      <c r="H1" s="3">
        <v>1</v>
      </c>
      <c r="I1" s="3">
        <v>2</v>
      </c>
      <c r="J1" s="3">
        <v>3</v>
      </c>
      <c r="K1" s="3">
        <v>4</v>
      </c>
      <c r="L1" s="3">
        <v>5</v>
      </c>
      <c r="M1" s="3">
        <v>6</v>
      </c>
      <c r="N1" s="3">
        <v>7</v>
      </c>
      <c r="O1" s="3">
        <v>8</v>
      </c>
      <c r="P1" s="3">
        <v>9</v>
      </c>
      <c r="Q1" s="3">
        <v>10</v>
      </c>
      <c r="R1" s="3">
        <v>11</v>
      </c>
      <c r="S1" s="3">
        <v>12</v>
      </c>
      <c r="T1" s="3">
        <v>13</v>
      </c>
      <c r="U1" s="3">
        <v>14</v>
      </c>
      <c r="V1" s="3">
        <v>15</v>
      </c>
      <c r="W1" s="4">
        <v>16</v>
      </c>
    </row>
    <row r="2" spans="1:23">
      <c r="G2" s="5">
        <v>1</v>
      </c>
      <c r="H2" s="6">
        <v>2</v>
      </c>
      <c r="I2" s="6">
        <v>3</v>
      </c>
      <c r="J2" s="6">
        <v>5</v>
      </c>
      <c r="K2" s="6">
        <v>7</v>
      </c>
      <c r="L2" s="6">
        <v>11</v>
      </c>
      <c r="M2" s="6">
        <v>13</v>
      </c>
      <c r="N2" s="6">
        <v>17</v>
      </c>
      <c r="O2" s="6">
        <v>19</v>
      </c>
      <c r="P2" s="6">
        <v>23</v>
      </c>
      <c r="Q2" s="6">
        <v>29</v>
      </c>
      <c r="R2" s="6">
        <v>947</v>
      </c>
      <c r="S2" s="6">
        <v>953</v>
      </c>
      <c r="T2" s="6">
        <v>967</v>
      </c>
      <c r="U2" s="6">
        <v>971</v>
      </c>
      <c r="V2" s="6">
        <v>977</v>
      </c>
      <c r="W2" s="7">
        <v>983</v>
      </c>
    </row>
    <row r="3" spans="1:23">
      <c r="G3" s="5">
        <v>2</v>
      </c>
      <c r="H3" s="6">
        <v>31</v>
      </c>
      <c r="I3" s="6">
        <v>37</v>
      </c>
      <c r="J3" s="6">
        <v>41</v>
      </c>
      <c r="K3" s="6">
        <v>43</v>
      </c>
      <c r="L3" s="6">
        <v>47</v>
      </c>
      <c r="M3" s="6">
        <v>53</v>
      </c>
      <c r="N3" s="6">
        <v>59</v>
      </c>
      <c r="O3" s="6">
        <v>61</v>
      </c>
      <c r="P3" s="6">
        <v>67</v>
      </c>
      <c r="Q3" s="6">
        <v>71</v>
      </c>
      <c r="R3" s="6">
        <v>991</v>
      </c>
      <c r="S3" s="6">
        <v>997</v>
      </c>
      <c r="T3" s="6">
        <v>1009</v>
      </c>
      <c r="U3" s="6">
        <v>1013</v>
      </c>
      <c r="V3" s="6">
        <v>1019</v>
      </c>
      <c r="W3" s="7">
        <v>1021</v>
      </c>
    </row>
    <row r="4" spans="1:23">
      <c r="G4" s="5">
        <v>3</v>
      </c>
      <c r="H4" s="6">
        <v>73</v>
      </c>
      <c r="I4" s="6">
        <v>79</v>
      </c>
      <c r="J4" s="6">
        <v>83</v>
      </c>
      <c r="K4" s="6">
        <v>89</v>
      </c>
      <c r="L4" s="6">
        <v>97</v>
      </c>
      <c r="M4" s="6">
        <v>101</v>
      </c>
      <c r="N4" s="6">
        <v>103</v>
      </c>
      <c r="O4" s="6">
        <v>107</v>
      </c>
      <c r="P4" s="6">
        <v>109</v>
      </c>
      <c r="Q4" s="6">
        <v>113</v>
      </c>
      <c r="R4" s="6">
        <v>1031</v>
      </c>
      <c r="S4" s="6">
        <v>1033</v>
      </c>
      <c r="T4" s="6">
        <v>1039</v>
      </c>
      <c r="U4" s="6">
        <v>1049</v>
      </c>
      <c r="V4" s="6">
        <v>1051</v>
      </c>
      <c r="W4" s="7">
        <v>1061</v>
      </c>
    </row>
    <row r="5" spans="1:23" ht="16" thickBot="1">
      <c r="G5" s="5">
        <v>4</v>
      </c>
      <c r="H5" s="6">
        <v>127</v>
      </c>
      <c r="I5" s="6">
        <v>131</v>
      </c>
      <c r="J5" s="6">
        <v>137</v>
      </c>
      <c r="K5" s="6">
        <v>139</v>
      </c>
      <c r="L5" s="6">
        <v>149</v>
      </c>
      <c r="M5" s="6">
        <v>151</v>
      </c>
      <c r="N5" s="6">
        <v>157</v>
      </c>
      <c r="O5" s="6">
        <v>163</v>
      </c>
      <c r="P5" s="6">
        <v>167</v>
      </c>
      <c r="Q5" s="6">
        <v>173</v>
      </c>
      <c r="R5" s="6">
        <v>1993</v>
      </c>
      <c r="S5" s="6">
        <v>1997</v>
      </c>
      <c r="T5" s="6">
        <v>1999</v>
      </c>
      <c r="U5" s="6">
        <v>2003</v>
      </c>
      <c r="V5" s="6">
        <v>2011</v>
      </c>
      <c r="W5" s="7">
        <v>2017</v>
      </c>
    </row>
    <row r="6" spans="1:23" ht="16" thickBot="1">
      <c r="A6">
        <v>1</v>
      </c>
      <c r="B6" s="12" t="e">
        <f>CODE(MID(#REF!,A6,1))</f>
        <v>#REF!</v>
      </c>
      <c r="C6" s="13" t="e">
        <f>MOD(B6,16)</f>
        <v>#REF!</v>
      </c>
      <c r="D6" s="13" t="e">
        <f>MOD((B6-C6)/16,16)</f>
        <v>#REF!</v>
      </c>
      <c r="E6" s="14" t="e">
        <f ca="1">INDIRECT("R"&amp;(C6+1)&amp;"C"&amp;(D6+7),0)</f>
        <v>#REF!</v>
      </c>
      <c r="G6" s="5">
        <v>5</v>
      </c>
      <c r="H6" s="6">
        <v>179</v>
      </c>
      <c r="I6" s="6">
        <v>181</v>
      </c>
      <c r="J6" s="6">
        <v>191</v>
      </c>
      <c r="K6" s="6">
        <v>193</v>
      </c>
      <c r="L6" s="6">
        <v>197</v>
      </c>
      <c r="M6" s="6">
        <v>199</v>
      </c>
      <c r="N6" s="6">
        <v>211</v>
      </c>
      <c r="O6" s="6">
        <v>223</v>
      </c>
      <c r="P6" s="6">
        <v>227</v>
      </c>
      <c r="Q6" s="6">
        <v>229</v>
      </c>
      <c r="R6" s="6">
        <v>2063</v>
      </c>
      <c r="S6" s="6">
        <v>2069</v>
      </c>
      <c r="T6" s="6">
        <v>2081</v>
      </c>
      <c r="U6" s="6">
        <v>2083</v>
      </c>
      <c r="V6" s="6">
        <v>2087</v>
      </c>
      <c r="W6" s="7">
        <v>2089</v>
      </c>
    </row>
    <row r="7" spans="1:23" ht="16" thickBot="1">
      <c r="A7">
        <v>2</v>
      </c>
      <c r="B7" s="12" t="e">
        <f>CODE(MID(#REF!,A7,1))</f>
        <v>#REF!</v>
      </c>
      <c r="C7" s="15" t="e">
        <f t="shared" ref="C7:C10" si="0">MOD(B7,16)</f>
        <v>#REF!</v>
      </c>
      <c r="D7" s="15" t="e">
        <f t="shared" ref="D7:D10" si="1">MOD((B7-C7)/16,16)</f>
        <v>#REF!</v>
      </c>
      <c r="E7" s="16" t="e">
        <f t="shared" ref="E7:E10" ca="1" si="2">INDIRECT("R"&amp;(C7+1)&amp;"C"&amp;(D7+7),0)</f>
        <v>#REF!</v>
      </c>
      <c r="G7" s="5">
        <v>6</v>
      </c>
      <c r="H7" s="6">
        <v>233</v>
      </c>
      <c r="I7" s="6">
        <v>239</v>
      </c>
      <c r="J7" s="6">
        <v>241</v>
      </c>
      <c r="K7" s="6">
        <v>251</v>
      </c>
      <c r="L7" s="6">
        <v>257</v>
      </c>
      <c r="M7" s="6">
        <v>263</v>
      </c>
      <c r="N7" s="6">
        <v>269</v>
      </c>
      <c r="O7" s="6">
        <v>271</v>
      </c>
      <c r="P7" s="6">
        <v>277</v>
      </c>
      <c r="Q7" s="6">
        <v>281</v>
      </c>
      <c r="R7" s="6">
        <v>2131</v>
      </c>
      <c r="S7" s="6">
        <v>2137</v>
      </c>
      <c r="T7" s="6">
        <v>2141</v>
      </c>
      <c r="U7" s="6">
        <v>2143</v>
      </c>
      <c r="V7" s="6">
        <v>2153</v>
      </c>
      <c r="W7" s="7">
        <v>2161</v>
      </c>
    </row>
    <row r="8" spans="1:23" ht="16" thickBot="1">
      <c r="A8">
        <v>3</v>
      </c>
      <c r="B8" s="12" t="e">
        <f>CODE(MID(#REF!,A8,1))</f>
        <v>#REF!</v>
      </c>
      <c r="C8" s="15" t="e">
        <f t="shared" si="0"/>
        <v>#REF!</v>
      </c>
      <c r="D8" s="15" t="e">
        <f t="shared" si="1"/>
        <v>#REF!</v>
      </c>
      <c r="E8" s="16" t="e">
        <f t="shared" ca="1" si="2"/>
        <v>#REF!</v>
      </c>
      <c r="G8" s="5">
        <v>7</v>
      </c>
      <c r="H8" s="6">
        <v>283</v>
      </c>
      <c r="I8" s="6">
        <v>293</v>
      </c>
      <c r="J8" s="6">
        <v>307</v>
      </c>
      <c r="K8" s="6">
        <v>311</v>
      </c>
      <c r="L8" s="6">
        <v>313</v>
      </c>
      <c r="M8" s="6">
        <v>317</v>
      </c>
      <c r="N8" s="6">
        <v>331</v>
      </c>
      <c r="O8" s="6">
        <v>337</v>
      </c>
      <c r="P8" s="6">
        <v>347</v>
      </c>
      <c r="Q8" s="6">
        <v>349</v>
      </c>
      <c r="R8" s="6">
        <v>2221</v>
      </c>
      <c r="S8" s="6">
        <v>2237</v>
      </c>
      <c r="T8" s="6">
        <v>2239</v>
      </c>
      <c r="U8" s="6">
        <v>2243</v>
      </c>
      <c r="V8" s="6">
        <v>2251</v>
      </c>
      <c r="W8" s="7">
        <v>2267</v>
      </c>
    </row>
    <row r="9" spans="1:23" ht="16" thickBot="1">
      <c r="A9">
        <v>4</v>
      </c>
      <c r="B9" s="12" t="e">
        <f>CODE(MID(#REF!,A9,1))</f>
        <v>#REF!</v>
      </c>
      <c r="C9" s="15" t="e">
        <f t="shared" si="0"/>
        <v>#REF!</v>
      </c>
      <c r="D9" s="15" t="e">
        <f t="shared" si="1"/>
        <v>#REF!</v>
      </c>
      <c r="E9" s="16" t="e">
        <f t="shared" ca="1" si="2"/>
        <v>#REF!</v>
      </c>
      <c r="G9" s="5">
        <v>8</v>
      </c>
      <c r="H9" s="6">
        <v>353</v>
      </c>
      <c r="I9" s="6">
        <v>359</v>
      </c>
      <c r="J9" s="6">
        <v>367</v>
      </c>
      <c r="K9" s="6">
        <v>373</v>
      </c>
      <c r="L9" s="6">
        <v>379</v>
      </c>
      <c r="M9" s="6">
        <v>383</v>
      </c>
      <c r="N9" s="6">
        <v>389</v>
      </c>
      <c r="O9" s="6">
        <v>397</v>
      </c>
      <c r="P9" s="6">
        <v>401</v>
      </c>
      <c r="Q9" s="6">
        <v>409</v>
      </c>
      <c r="R9" s="6">
        <v>2293</v>
      </c>
      <c r="S9" s="6">
        <v>2297</v>
      </c>
      <c r="T9" s="6">
        <v>2309</v>
      </c>
      <c r="U9" s="6">
        <v>2311</v>
      </c>
      <c r="V9" s="6">
        <v>2333</v>
      </c>
      <c r="W9" s="7">
        <v>2339</v>
      </c>
    </row>
    <row r="10" spans="1:23" ht="16" thickBot="1">
      <c r="A10">
        <v>5</v>
      </c>
      <c r="B10" s="12" t="e">
        <f>CODE(MID(#REF!,A10,1))</f>
        <v>#REF!</v>
      </c>
      <c r="C10" s="17" t="e">
        <f t="shared" si="0"/>
        <v>#REF!</v>
      </c>
      <c r="D10" s="17" t="e">
        <f t="shared" si="1"/>
        <v>#REF!</v>
      </c>
      <c r="E10" s="18" t="e">
        <f t="shared" ca="1" si="2"/>
        <v>#REF!</v>
      </c>
      <c r="G10" s="5">
        <v>9</v>
      </c>
      <c r="H10" s="6">
        <v>419</v>
      </c>
      <c r="I10" s="6">
        <v>421</v>
      </c>
      <c r="J10" s="6">
        <v>431</v>
      </c>
      <c r="K10" s="6">
        <v>433</v>
      </c>
      <c r="L10" s="6">
        <v>439</v>
      </c>
      <c r="M10" s="6">
        <v>443</v>
      </c>
      <c r="N10" s="6">
        <v>449</v>
      </c>
      <c r="O10" s="6">
        <v>457</v>
      </c>
      <c r="P10" s="6">
        <v>461</v>
      </c>
      <c r="Q10" s="6">
        <v>463</v>
      </c>
      <c r="R10" s="6">
        <v>2371</v>
      </c>
      <c r="S10" s="6">
        <v>2377</v>
      </c>
      <c r="T10" s="6">
        <v>2381</v>
      </c>
      <c r="U10" s="6">
        <v>2383</v>
      </c>
      <c r="V10" s="6">
        <v>2389</v>
      </c>
      <c r="W10" s="7">
        <v>2393</v>
      </c>
    </row>
    <row r="11" spans="1:23" ht="16" thickBot="1">
      <c r="A11" t="s">
        <v>35</v>
      </c>
      <c r="B11" s="10" t="e">
        <f ca="1">MOD(PRODUCT(E6:E10),F13)</f>
        <v>#REF!</v>
      </c>
      <c r="F11">
        <v>1103515245</v>
      </c>
      <c r="G11" s="5">
        <v>10</v>
      </c>
      <c r="H11" s="6">
        <v>467</v>
      </c>
      <c r="I11" s="6">
        <v>479</v>
      </c>
      <c r="J11" s="6">
        <v>487</v>
      </c>
      <c r="K11" s="6">
        <v>491</v>
      </c>
      <c r="L11" s="6">
        <v>499</v>
      </c>
      <c r="M11" s="6">
        <v>503</v>
      </c>
      <c r="N11" s="6">
        <v>509</v>
      </c>
      <c r="O11" s="6">
        <v>521</v>
      </c>
      <c r="P11" s="6">
        <v>523</v>
      </c>
      <c r="Q11" s="6">
        <v>541</v>
      </c>
      <c r="R11" s="6">
        <v>2437</v>
      </c>
      <c r="S11" s="6">
        <v>2441</v>
      </c>
      <c r="T11" s="6">
        <v>2447</v>
      </c>
      <c r="U11" s="6">
        <v>2459</v>
      </c>
      <c r="V11" s="6">
        <v>2467</v>
      </c>
      <c r="W11" s="7">
        <v>2473</v>
      </c>
    </row>
    <row r="12" spans="1:23">
      <c r="A12" t="s">
        <v>36</v>
      </c>
      <c r="B12" t="e">
        <f ca="1">MOD(B11*F11+F12,F13)</f>
        <v>#REF!</v>
      </c>
      <c r="C12" t="e">
        <f ca="1">MOD(B12,2)</f>
        <v>#REF!</v>
      </c>
      <c r="D12" t="e">
        <f ca="1">B12/F$13</f>
        <v>#REF!</v>
      </c>
      <c r="E12" t="e">
        <f ca="1">IF(D12&lt;0.25,0,IF(D12&lt;0.5,1,IF(D12&lt;0.75,3,4)))</f>
        <v>#REF!</v>
      </c>
      <c r="F12">
        <v>12345</v>
      </c>
      <c r="G12" s="5">
        <v>11</v>
      </c>
      <c r="H12" s="6">
        <v>547</v>
      </c>
      <c r="I12" s="6">
        <v>557</v>
      </c>
      <c r="J12" s="6">
        <v>563</v>
      </c>
      <c r="K12" s="6">
        <v>569</v>
      </c>
      <c r="L12" s="6">
        <v>571</v>
      </c>
      <c r="M12" s="6">
        <v>577</v>
      </c>
      <c r="N12" s="6">
        <v>587</v>
      </c>
      <c r="O12" s="6">
        <v>593</v>
      </c>
      <c r="P12" s="6">
        <v>599</v>
      </c>
      <c r="Q12" s="6">
        <v>601</v>
      </c>
      <c r="R12" s="6">
        <v>2539</v>
      </c>
      <c r="S12" s="6">
        <v>2543</v>
      </c>
      <c r="T12" s="6">
        <v>2549</v>
      </c>
      <c r="U12" s="6">
        <v>2551</v>
      </c>
      <c r="V12" s="6">
        <v>2557</v>
      </c>
      <c r="W12" s="7">
        <v>2579</v>
      </c>
    </row>
    <row r="13" spans="1:23">
      <c r="A13" t="s">
        <v>37</v>
      </c>
      <c r="B13" s="1" t="e">
        <f t="shared" ref="B13:B33" ca="1" si="3">MOD(B12*F$11+F$12,F$13)</f>
        <v>#REF!</v>
      </c>
      <c r="C13" t="e">
        <f t="shared" ref="C13:C33" ca="1" si="4">IF(D13&lt;0.5,0,1)</f>
        <v>#REF!</v>
      </c>
      <c r="D13" t="e">
        <f t="shared" ref="D13:D33" ca="1" si="5">B13/F$13</f>
        <v>#REF!</v>
      </c>
      <c r="E13" t="e">
        <f t="shared" ref="E13:E33" ca="1" si="6">IF(D13&lt;0.25,0,IF(D13&lt;0.5,1,IF(D13&lt;0.75,3,4)))</f>
        <v>#REF!</v>
      </c>
      <c r="F13">
        <v>32768</v>
      </c>
      <c r="G13" s="5">
        <v>12</v>
      </c>
      <c r="H13" s="6">
        <v>607</v>
      </c>
      <c r="I13" s="6">
        <v>613</v>
      </c>
      <c r="J13" s="6">
        <v>617</v>
      </c>
      <c r="K13" s="6">
        <v>619</v>
      </c>
      <c r="L13" s="6">
        <v>631</v>
      </c>
      <c r="M13" s="6">
        <v>641</v>
      </c>
      <c r="N13" s="6">
        <v>643</v>
      </c>
      <c r="O13" s="6">
        <v>647</v>
      </c>
      <c r="P13" s="6">
        <v>653</v>
      </c>
      <c r="Q13" s="6">
        <v>659</v>
      </c>
      <c r="R13" s="6">
        <v>2621</v>
      </c>
      <c r="S13" s="6">
        <v>2633</v>
      </c>
      <c r="T13" s="6">
        <v>2647</v>
      </c>
      <c r="U13" s="6">
        <v>2657</v>
      </c>
      <c r="V13" s="6">
        <v>2659</v>
      </c>
      <c r="W13" s="7">
        <v>2663</v>
      </c>
    </row>
    <row r="14" spans="1:23">
      <c r="A14" t="s">
        <v>38</v>
      </c>
      <c r="B14" s="1" t="e">
        <f t="shared" ca="1" si="3"/>
        <v>#REF!</v>
      </c>
      <c r="C14" t="e">
        <f t="shared" ca="1" si="4"/>
        <v>#REF!</v>
      </c>
      <c r="D14" t="e">
        <f t="shared" ca="1" si="5"/>
        <v>#REF!</v>
      </c>
      <c r="E14" t="e">
        <f t="shared" ca="1" si="6"/>
        <v>#REF!</v>
      </c>
      <c r="G14" s="5">
        <v>13</v>
      </c>
      <c r="H14" s="6">
        <v>661</v>
      </c>
      <c r="I14" s="6">
        <v>673</v>
      </c>
      <c r="J14" s="6">
        <v>677</v>
      </c>
      <c r="K14" s="6">
        <v>683</v>
      </c>
      <c r="L14" s="6">
        <v>691</v>
      </c>
      <c r="M14" s="6">
        <v>701</v>
      </c>
      <c r="N14" s="6">
        <v>709</v>
      </c>
      <c r="O14" s="6">
        <v>719</v>
      </c>
      <c r="P14" s="6">
        <v>727</v>
      </c>
      <c r="Q14" s="6">
        <v>733</v>
      </c>
      <c r="R14" s="6">
        <v>2689</v>
      </c>
      <c r="S14" s="6">
        <v>2693</v>
      </c>
      <c r="T14" s="6">
        <v>2699</v>
      </c>
      <c r="U14" s="6">
        <v>2707</v>
      </c>
      <c r="V14" s="6">
        <v>2711</v>
      </c>
      <c r="W14" s="7">
        <v>2713</v>
      </c>
    </row>
    <row r="15" spans="1:23">
      <c r="A15" t="s">
        <v>39</v>
      </c>
      <c r="B15" s="1" t="e">
        <f t="shared" ca="1" si="3"/>
        <v>#REF!</v>
      </c>
      <c r="C15" t="e">
        <f t="shared" ca="1" si="4"/>
        <v>#REF!</v>
      </c>
      <c r="D15" t="e">
        <f t="shared" ca="1" si="5"/>
        <v>#REF!</v>
      </c>
      <c r="E15" t="e">
        <f t="shared" ca="1" si="6"/>
        <v>#REF!</v>
      </c>
      <c r="G15" s="5">
        <v>14</v>
      </c>
      <c r="H15" s="6">
        <v>739</v>
      </c>
      <c r="I15" s="6">
        <v>743</v>
      </c>
      <c r="J15" s="6">
        <v>751</v>
      </c>
      <c r="K15" s="6">
        <v>757</v>
      </c>
      <c r="L15" s="6">
        <v>761</v>
      </c>
      <c r="M15" s="6">
        <v>769</v>
      </c>
      <c r="N15" s="6">
        <v>773</v>
      </c>
      <c r="O15" s="6">
        <v>787</v>
      </c>
      <c r="P15" s="6">
        <v>797</v>
      </c>
      <c r="Q15" s="6">
        <v>809</v>
      </c>
      <c r="R15" s="6">
        <v>2749</v>
      </c>
      <c r="S15" s="6">
        <v>2753</v>
      </c>
      <c r="T15" s="6">
        <v>2767</v>
      </c>
      <c r="U15" s="6">
        <v>2777</v>
      </c>
      <c r="V15" s="6">
        <v>2789</v>
      </c>
      <c r="W15" s="7">
        <v>2791</v>
      </c>
    </row>
    <row r="16" spans="1:23">
      <c r="A16" t="s">
        <v>40</v>
      </c>
      <c r="B16" s="1" t="e">
        <f t="shared" ca="1" si="3"/>
        <v>#REF!</v>
      </c>
      <c r="C16" t="e">
        <f t="shared" ca="1" si="4"/>
        <v>#REF!</v>
      </c>
      <c r="D16" t="e">
        <f t="shared" ca="1" si="5"/>
        <v>#REF!</v>
      </c>
      <c r="E16" t="e">
        <f t="shared" ca="1" si="6"/>
        <v>#REF!</v>
      </c>
      <c r="G16" s="5">
        <v>15</v>
      </c>
      <c r="H16" s="6">
        <v>811</v>
      </c>
      <c r="I16" s="6">
        <v>821</v>
      </c>
      <c r="J16" s="6">
        <v>823</v>
      </c>
      <c r="K16" s="6">
        <v>827</v>
      </c>
      <c r="L16" s="6">
        <v>829</v>
      </c>
      <c r="M16" s="6">
        <v>839</v>
      </c>
      <c r="N16" s="6">
        <v>853</v>
      </c>
      <c r="O16" s="6">
        <v>857</v>
      </c>
      <c r="P16" s="6">
        <v>859</v>
      </c>
      <c r="Q16" s="6">
        <v>863</v>
      </c>
      <c r="R16" s="6">
        <v>2833</v>
      </c>
      <c r="S16" s="6">
        <v>2837</v>
      </c>
      <c r="T16" s="6">
        <v>2843</v>
      </c>
      <c r="U16" s="6">
        <v>2851</v>
      </c>
      <c r="V16" s="6">
        <v>2857</v>
      </c>
      <c r="W16" s="7">
        <v>2861</v>
      </c>
    </row>
    <row r="17" spans="1:23" ht="16" thickBot="1">
      <c r="A17" t="s">
        <v>41</v>
      </c>
      <c r="B17" s="1" t="e">
        <f t="shared" ca="1" si="3"/>
        <v>#REF!</v>
      </c>
      <c r="C17" t="e">
        <f t="shared" ca="1" si="4"/>
        <v>#REF!</v>
      </c>
      <c r="D17" t="e">
        <f t="shared" ca="1" si="5"/>
        <v>#REF!</v>
      </c>
      <c r="E17" t="e">
        <f t="shared" ca="1" si="6"/>
        <v>#REF!</v>
      </c>
      <c r="G17" s="11">
        <v>16</v>
      </c>
      <c r="H17" s="8">
        <v>877</v>
      </c>
      <c r="I17" s="8">
        <v>881</v>
      </c>
      <c r="J17" s="8">
        <v>883</v>
      </c>
      <c r="K17" s="8">
        <v>887</v>
      </c>
      <c r="L17" s="8">
        <v>907</v>
      </c>
      <c r="M17" s="8">
        <v>911</v>
      </c>
      <c r="N17" s="8">
        <v>919</v>
      </c>
      <c r="O17" s="8">
        <v>929</v>
      </c>
      <c r="P17" s="8">
        <v>937</v>
      </c>
      <c r="Q17" s="8">
        <v>941</v>
      </c>
      <c r="R17" s="8">
        <v>2909</v>
      </c>
      <c r="S17" s="8">
        <v>2917</v>
      </c>
      <c r="T17" s="8">
        <v>2927</v>
      </c>
      <c r="U17" s="8">
        <v>2939</v>
      </c>
      <c r="V17" s="8">
        <v>2953</v>
      </c>
      <c r="W17" s="9">
        <v>2957</v>
      </c>
    </row>
    <row r="18" spans="1:23">
      <c r="A18" t="s">
        <v>42</v>
      </c>
      <c r="B18" s="1" t="e">
        <f t="shared" ca="1" si="3"/>
        <v>#REF!</v>
      </c>
      <c r="C18" t="e">
        <f t="shared" ca="1" si="4"/>
        <v>#REF!</v>
      </c>
      <c r="D18" t="e">
        <f t="shared" ca="1" si="5"/>
        <v>#REF!</v>
      </c>
      <c r="E18" t="e">
        <f t="shared" ca="1" si="6"/>
        <v>#REF!</v>
      </c>
    </row>
    <row r="19" spans="1:23">
      <c r="A19" t="s">
        <v>43</v>
      </c>
      <c r="B19" s="1" t="e">
        <f t="shared" ca="1" si="3"/>
        <v>#REF!</v>
      </c>
      <c r="C19" t="e">
        <f t="shared" ca="1" si="4"/>
        <v>#REF!</v>
      </c>
      <c r="D19" t="e">
        <f t="shared" ca="1" si="5"/>
        <v>#REF!</v>
      </c>
      <c r="E19" t="e">
        <f t="shared" ca="1" si="6"/>
        <v>#REF!</v>
      </c>
      <c r="H19" t="e">
        <f ca="1">2000+SUM(C12:C26)*25</f>
        <v>#REF!</v>
      </c>
    </row>
    <row r="20" spans="1:23">
      <c r="A20" t="s">
        <v>44</v>
      </c>
      <c r="B20" s="1" t="e">
        <f t="shared" ca="1" si="3"/>
        <v>#REF!</v>
      </c>
      <c r="C20" t="e">
        <f t="shared" ca="1" si="4"/>
        <v>#REF!</v>
      </c>
      <c r="D20" t="e">
        <f t="shared" ca="1" si="5"/>
        <v>#REF!</v>
      </c>
      <c r="E20" t="e">
        <f t="shared" ca="1" si="6"/>
        <v>#REF!</v>
      </c>
      <c r="H20" t="e">
        <f ca="1">2+SUM(C12:C15)*0.5</f>
        <v>#REF!</v>
      </c>
    </row>
    <row r="21" spans="1:23">
      <c r="A21" t="s">
        <v>45</v>
      </c>
      <c r="B21" s="1" t="e">
        <f t="shared" ca="1" si="3"/>
        <v>#REF!</v>
      </c>
      <c r="C21" t="e">
        <f t="shared" ca="1" si="4"/>
        <v>#REF!</v>
      </c>
      <c r="D21" t="e">
        <f t="shared" ca="1" si="5"/>
        <v>#REF!</v>
      </c>
      <c r="E21" t="e">
        <f t="shared" ca="1" si="6"/>
        <v>#REF!</v>
      </c>
      <c r="H21" t="e">
        <f ca="1">15+SUM(C21:C30)</f>
        <v>#REF!</v>
      </c>
    </row>
    <row r="22" spans="1:23">
      <c r="A22" t="s">
        <v>46</v>
      </c>
      <c r="B22" s="1" t="e">
        <f t="shared" ca="1" si="3"/>
        <v>#REF!</v>
      </c>
      <c r="C22" t="e">
        <f t="shared" ca="1" si="4"/>
        <v>#REF!</v>
      </c>
      <c r="D22" t="e">
        <f t="shared" ca="1" si="5"/>
        <v>#REF!</v>
      </c>
      <c r="E22" t="e">
        <f t="shared" ca="1" si="6"/>
        <v>#REF!</v>
      </c>
      <c r="H22" t="e">
        <f ca="1">20+SUM(C29:C31)*5</f>
        <v>#REF!</v>
      </c>
      <c r="M22" s="1"/>
    </row>
    <row r="23" spans="1:23">
      <c r="A23" t="s">
        <v>47</v>
      </c>
      <c r="B23" s="1" t="e">
        <f t="shared" ca="1" si="3"/>
        <v>#REF!</v>
      </c>
      <c r="C23" t="e">
        <f t="shared" ca="1" si="4"/>
        <v>#REF!</v>
      </c>
      <c r="D23" t="e">
        <f t="shared" ca="1" si="5"/>
        <v>#REF!</v>
      </c>
      <c r="E23" t="e">
        <f t="shared" ca="1" si="6"/>
        <v>#REF!</v>
      </c>
      <c r="M23" s="1"/>
    </row>
    <row r="24" spans="1:23">
      <c r="A24" t="s">
        <v>48</v>
      </c>
      <c r="B24" s="1" t="e">
        <f t="shared" ca="1" si="3"/>
        <v>#REF!</v>
      </c>
      <c r="C24" t="e">
        <f t="shared" ca="1" si="4"/>
        <v>#REF!</v>
      </c>
      <c r="D24" t="e">
        <f t="shared" ca="1" si="5"/>
        <v>#REF!</v>
      </c>
      <c r="E24" t="e">
        <f t="shared" ca="1" si="6"/>
        <v>#REF!</v>
      </c>
      <c r="M24" s="1"/>
    </row>
    <row r="25" spans="1:23">
      <c r="A25" t="s">
        <v>49</v>
      </c>
      <c r="B25" s="1" t="e">
        <f t="shared" ca="1" si="3"/>
        <v>#REF!</v>
      </c>
      <c r="C25" t="e">
        <f t="shared" ca="1" si="4"/>
        <v>#REF!</v>
      </c>
      <c r="D25" t="e">
        <f t="shared" ca="1" si="5"/>
        <v>#REF!</v>
      </c>
      <c r="E25" t="e">
        <f t="shared" ca="1" si="6"/>
        <v>#REF!</v>
      </c>
      <c r="M25" s="1"/>
    </row>
    <row r="26" spans="1:23">
      <c r="A26" t="s">
        <v>50</v>
      </c>
      <c r="B26" s="1" t="e">
        <f t="shared" ca="1" si="3"/>
        <v>#REF!</v>
      </c>
      <c r="C26" t="e">
        <f t="shared" ca="1" si="4"/>
        <v>#REF!</v>
      </c>
      <c r="D26" t="e">
        <f t="shared" ca="1" si="5"/>
        <v>#REF!</v>
      </c>
      <c r="E26" t="e">
        <f t="shared" ca="1" si="6"/>
        <v>#REF!</v>
      </c>
      <c r="M26" s="1"/>
    </row>
    <row r="27" spans="1:23">
      <c r="A27" t="s">
        <v>51</v>
      </c>
      <c r="B27" s="1" t="e">
        <f t="shared" ca="1" si="3"/>
        <v>#REF!</v>
      </c>
      <c r="C27" t="e">
        <f t="shared" ca="1" si="4"/>
        <v>#REF!</v>
      </c>
      <c r="D27" t="e">
        <f t="shared" ca="1" si="5"/>
        <v>#REF!</v>
      </c>
      <c r="E27" t="e">
        <f t="shared" ca="1" si="6"/>
        <v>#REF!</v>
      </c>
      <c r="M27" s="1"/>
    </row>
    <row r="28" spans="1:23">
      <c r="A28" t="s">
        <v>52</v>
      </c>
      <c r="B28" s="1" t="e">
        <f t="shared" ca="1" si="3"/>
        <v>#REF!</v>
      </c>
      <c r="C28" t="e">
        <f t="shared" ca="1" si="4"/>
        <v>#REF!</v>
      </c>
      <c r="D28" t="e">
        <f t="shared" ca="1" si="5"/>
        <v>#REF!</v>
      </c>
      <c r="E28" t="e">
        <f t="shared" ca="1" si="6"/>
        <v>#REF!</v>
      </c>
      <c r="M28" s="1"/>
    </row>
    <row r="29" spans="1:23">
      <c r="A29" t="s">
        <v>53</v>
      </c>
      <c r="B29" s="1" t="e">
        <f t="shared" ca="1" si="3"/>
        <v>#REF!</v>
      </c>
      <c r="C29" t="e">
        <f t="shared" ca="1" si="4"/>
        <v>#REF!</v>
      </c>
      <c r="D29" t="e">
        <f t="shared" ca="1" si="5"/>
        <v>#REF!</v>
      </c>
      <c r="E29" t="e">
        <f t="shared" ca="1" si="6"/>
        <v>#REF!</v>
      </c>
      <c r="M29" s="1"/>
    </row>
    <row r="30" spans="1:23">
      <c r="A30" t="s">
        <v>54</v>
      </c>
      <c r="B30" s="1" t="e">
        <f t="shared" ca="1" si="3"/>
        <v>#REF!</v>
      </c>
      <c r="C30" t="e">
        <f t="shared" ca="1" si="4"/>
        <v>#REF!</v>
      </c>
      <c r="D30" t="e">
        <f t="shared" ca="1" si="5"/>
        <v>#REF!</v>
      </c>
      <c r="E30" t="e">
        <f t="shared" ca="1" si="6"/>
        <v>#REF!</v>
      </c>
      <c r="M30" s="1"/>
    </row>
    <row r="31" spans="1:23">
      <c r="A31" t="s">
        <v>55</v>
      </c>
      <c r="B31" s="1" t="e">
        <f t="shared" ca="1" si="3"/>
        <v>#REF!</v>
      </c>
      <c r="C31" t="e">
        <f t="shared" ca="1" si="4"/>
        <v>#REF!</v>
      </c>
      <c r="D31" t="e">
        <f t="shared" ca="1" si="5"/>
        <v>#REF!</v>
      </c>
      <c r="E31" t="e">
        <f t="shared" ca="1" si="6"/>
        <v>#REF!</v>
      </c>
      <c r="M31" s="1"/>
    </row>
    <row r="32" spans="1:23">
      <c r="A32" t="s">
        <v>56</v>
      </c>
      <c r="B32" s="1" t="e">
        <f t="shared" ca="1" si="3"/>
        <v>#REF!</v>
      </c>
      <c r="C32" t="e">
        <f t="shared" ca="1" si="4"/>
        <v>#REF!</v>
      </c>
      <c r="D32" t="e">
        <f t="shared" ca="1" si="5"/>
        <v>#REF!</v>
      </c>
      <c r="E32" t="e">
        <f t="shared" ca="1" si="6"/>
        <v>#REF!</v>
      </c>
      <c r="M32" s="1"/>
    </row>
    <row r="33" spans="1:13">
      <c r="A33" t="s">
        <v>57</v>
      </c>
      <c r="B33" s="1" t="e">
        <f t="shared" ca="1" si="3"/>
        <v>#REF!</v>
      </c>
      <c r="C33" t="e">
        <f t="shared" ca="1" si="4"/>
        <v>#REF!</v>
      </c>
      <c r="D33" t="e">
        <f t="shared" ca="1" si="5"/>
        <v>#REF!</v>
      </c>
      <c r="E33" t="e">
        <f t="shared" ca="1" si="6"/>
        <v>#REF!</v>
      </c>
      <c r="M33" s="1"/>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457ba54-12e9-41a3-ab87-ffd5bc645430">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TaxCatchAll xmlns="37d47695-dda2-48a2-87bc-2a1f7ac7fed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11D7BF13958C64483E7E107A08507EA" ma:contentTypeVersion="3706" ma:contentTypeDescription="Create a new document." ma:contentTypeScope="" ma:versionID="27b9d429859bcb4cc95ca5b147d3168a">
  <xsd:schema xmlns:xsd="http://www.w3.org/2001/XMLSchema" xmlns:xs="http://www.w3.org/2001/XMLSchema" xmlns:p="http://schemas.microsoft.com/office/2006/metadata/properties" xmlns:ns1="http://schemas.microsoft.com/sharepoint/v3" xmlns:ns2="b457ba54-12e9-41a3-ab87-ffd5bc645430" xmlns:ns3="37d47695-dda2-48a2-87bc-2a1f7ac7fedc" targetNamespace="http://schemas.microsoft.com/office/2006/metadata/properties" ma:root="true" ma:fieldsID="1c82921937d1af28a735bf3437c860b8" ns1:_="" ns2:_="" ns3:_="">
    <xsd:import namespace="http://schemas.microsoft.com/sharepoint/v3"/>
    <xsd:import namespace="b457ba54-12e9-41a3-ab87-ffd5bc645430"/>
    <xsd:import namespace="37d47695-dda2-48a2-87bc-2a1f7ac7fed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OCR" minOccurs="0"/>
                <xsd:element ref="ns2:MediaServiceAutoKeyPoints" minOccurs="0"/>
                <xsd:element ref="ns2:MediaServiceKeyPoints" minOccurs="0"/>
                <xsd:element ref="ns2:MediaServiceDateTake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3" nillable="true" ma:displayName="Unified Compliance Policy Properties" ma:hidden="true" ma:internalName="_ip_UnifiedCompliancePolicyProperties">
      <xsd:simpleType>
        <xsd:restriction base="dms:Note"/>
      </xsd:simpleType>
    </xsd:element>
    <xsd:element name="_ip_UnifiedCompliancePolicyUIAction" ma:index="1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57ba54-12e9-41a3-ab87-ffd5bc6454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6f79346d-4f46-4bf1-b4df-486c6d391f3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7d47695-dda2-48a2-87bc-2a1f7ac7fedc"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ebea8f4f-161d-469c-9cf2-f7071433846c}" ma:internalName="TaxCatchAll" ma:showField="CatchAllData" ma:web="37d47695-dda2-48a2-87bc-2a1f7ac7fe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F94F4F-19BE-40DA-84F9-87BCA4F4EA8E}">
  <ds:schemaRefs>
    <ds:schemaRef ds:uri="http://schemas.microsoft.com/office/2006/metadata/properties"/>
    <ds:schemaRef ds:uri="http://schemas.microsoft.com/office/infopath/2007/PartnerControls"/>
    <ds:schemaRef ds:uri="cca9fd2d-ef84-45c9-8063-8f4bd4c29606"/>
    <ds:schemaRef ds:uri="b457ba54-12e9-41a3-ab87-ffd5bc645430"/>
    <ds:schemaRef ds:uri="http://schemas.microsoft.com/sharepoint/v3"/>
    <ds:schemaRef ds:uri="37d47695-dda2-48a2-87bc-2a1f7ac7fedc"/>
  </ds:schemaRefs>
</ds:datastoreItem>
</file>

<file path=customXml/itemProps2.xml><?xml version="1.0" encoding="utf-8"?>
<ds:datastoreItem xmlns:ds="http://schemas.openxmlformats.org/officeDocument/2006/customXml" ds:itemID="{CFC0935B-8FC0-41C9-A459-8CE9BBAB66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457ba54-12e9-41a3-ab87-ffd5bc645430"/>
    <ds:schemaRef ds:uri="37d47695-dda2-48a2-87bc-2a1f7ac7fe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19F94BC-D373-49DC-B88C-A513A002585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Grading Sheet</vt:lpstr>
      <vt:lpstr>Random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VanDerLinden</dc:creator>
  <cp:keywords/>
  <dc:description>Excel Template for Major Assignment 2 for MAT-144
Updated for release - 20220626</dc:description>
  <cp:lastModifiedBy>Clayton Ragsdale</cp:lastModifiedBy>
  <cp:revision/>
  <dcterms:created xsi:type="dcterms:W3CDTF">2020-05-06T01:32:26Z</dcterms:created>
  <dcterms:modified xsi:type="dcterms:W3CDTF">2025-11-17T02:26:12Z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0x010100911D7BF13958C64483E7E107A08507EA</vt:lpwstr>
  </property>
  <property fmtid="{D5CDD505-2E9C-101B-9397-08002B2CF9AE}" pid="3" name="MediaServiceImageTags">
    <vt:lpwstr/>
  </property>
</Properties>
</file>