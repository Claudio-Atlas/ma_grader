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0" activeTab="0" autoFilterDateGrouping="1"/>
  </bookViews>
  <sheets>
    <sheet xmlns:r="http://schemas.openxmlformats.org/officeDocument/2006/relationships" name="Grading Sheet" sheetId="1" state="visible" r:id="rId1"/>
    <sheet xmlns:r="http://schemas.openxmlformats.org/officeDocument/2006/relationships" name="Random" sheetId="2" state="hidden" r:id="rId2"/>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11">
    <font>
      <name val="Times New Roman"/>
      <family val="1"/>
      <color theme="1"/>
      <sz val="12"/>
    </font>
    <font>
      <name val="Calibri"/>
      <family val="2"/>
      <color theme="1"/>
      <sz val="12"/>
      <scheme val="minor"/>
    </font>
    <font>
      <name val="Calibri"/>
      <family val="2"/>
      <b val="1"/>
      <color theme="1"/>
      <sz val="16"/>
      <scheme val="minor"/>
    </font>
    <font>
      <name val="Calibri"/>
      <family val="2"/>
      <b val="1"/>
      <color theme="1"/>
      <sz val="12"/>
      <scheme val="minor"/>
    </font>
    <font>
      <name val="Calibri"/>
      <family val="2"/>
      <sz val="12"/>
      <scheme val="minor"/>
    </font>
    <font>
      <name val="Calibri"/>
      <family val="2"/>
      <b val="1"/>
      <sz val="12"/>
      <scheme val="minor"/>
    </font>
    <font>
      <name val="Calibri"/>
      <family val="2"/>
      <b val="1"/>
      <color theme="0" tint="-0.1499984740745262"/>
      <sz val="12"/>
      <scheme val="minor"/>
    </font>
    <font>
      <name val="Arial Unicode MS"/>
      <family val="2"/>
      <color rgb="FF000000"/>
      <sz val="10"/>
    </font>
    <font>
      <name val="Calibri"/>
      <family val="2"/>
      <color rgb="FF000000"/>
      <sz val="12"/>
      <scheme val="minor"/>
    </font>
    <font>
      <name val="Calibri"/>
      <family val="2"/>
      <b val="1"/>
      <color theme="0" tint="-0.0499893185216834"/>
      <sz val="12"/>
      <scheme val="minor"/>
    </font>
    <font>
      <b val="1"/>
    </font>
  </fonts>
  <fills count="9">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theme="8" tint="0.3999755851924192"/>
        <bgColor indexed="64"/>
      </patternFill>
    </fill>
    <fill>
      <patternFill patternType="solid">
        <fgColor theme="7" tint="0.7999816888943144"/>
        <bgColor indexed="64"/>
      </patternFill>
    </fill>
    <fill>
      <patternFill patternType="solid">
        <fgColor rgb="FF7030A0"/>
        <bgColor indexed="64"/>
      </patternFill>
    </fill>
    <fill>
      <patternFill patternType="solid">
        <fgColor rgb="FFFFFF00"/>
        <bgColor indexed="64"/>
      </patternFill>
    </fill>
    <fill>
      <patternFill patternType="solid">
        <fgColor theme="7" tint="-0.249977111117893"/>
        <bgColor indexed="64"/>
      </patternFill>
    </fill>
  </fills>
  <borders count="68">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thin">
        <color auto="1"/>
      </left>
      <right/>
      <top style="thin">
        <color auto="1"/>
      </top>
      <bottom style="medium">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medium">
        <color indexed="64"/>
      </left>
      <right style="thin">
        <color auto="1"/>
      </right>
      <top style="medium">
        <color auto="1"/>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style="thin">
        <color auto="1"/>
      </top>
      <bottom style="thin">
        <color auto="1"/>
      </bottom>
      <diagonal/>
    </border>
    <border>
      <left/>
      <right style="medium">
        <color rgb="FF000000"/>
      </right>
      <top style="thin">
        <color auto="1"/>
      </top>
      <bottom style="medium">
        <color rgb="FF000000"/>
      </bottom>
      <diagonal/>
    </border>
    <border>
      <left style="medium">
        <color auto="1"/>
      </left>
      <right style="thin">
        <color auto="1"/>
      </right>
      <top/>
      <bottom/>
      <diagonal/>
    </border>
    <border>
      <left style="medium">
        <color indexed="64"/>
      </left>
      <right style="medium">
        <color rgb="FF000000"/>
      </right>
      <top/>
      <bottom/>
      <diagonal/>
    </border>
    <border>
      <left style="medium">
        <color rgb="FF000000"/>
      </left>
      <right style="medium">
        <color auto="1"/>
      </right>
      <top style="medium">
        <color auto="1"/>
      </top>
      <bottom style="medium">
        <color auto="1"/>
      </bottom>
      <diagonal/>
    </border>
    <border>
      <left style="medium">
        <color rgb="FF000000"/>
      </left>
      <right style="medium">
        <color auto="1"/>
      </right>
      <top style="medium">
        <color auto="1"/>
      </top>
      <bottom style="medium">
        <color rgb="FF000000"/>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medium">
        <color rgb="FF000000"/>
      </left>
      <right/>
      <top/>
      <bottom style="medium">
        <color auto="1"/>
      </bottom>
      <diagonal/>
    </border>
    <border>
      <left style="medium">
        <color rgb="FF000000"/>
      </left>
      <right/>
      <top style="medium">
        <color indexed="64"/>
      </top>
      <bottom style="medium">
        <color rgb="FF000000"/>
      </bottom>
      <diagonal/>
    </border>
    <border>
      <left/>
      <right style="medium">
        <color auto="1"/>
      </right>
      <top style="medium">
        <color rgb="FF000000"/>
      </top>
      <bottom/>
      <diagonal/>
    </border>
    <border>
      <left style="medium">
        <color indexed="64"/>
      </left>
      <right style="medium">
        <color indexed="64"/>
      </right>
      <top/>
      <bottom/>
      <diagonal/>
    </border>
    <border>
      <left/>
      <right/>
      <top style="medium">
        <color rgb="FF000000"/>
      </top>
      <bottom style="thin">
        <color auto="1"/>
      </bottom>
      <diagonal/>
    </border>
    <border>
      <left/>
      <right/>
      <top style="thin">
        <color auto="1"/>
      </top>
      <bottom style="medium">
        <color rgb="FF000000"/>
      </bottom>
      <diagonal/>
    </border>
    <border>
      <left style="medium">
        <color rgb="FF000000"/>
      </left>
      <right/>
      <top style="medium">
        <color rgb="FF000000"/>
      </top>
      <bottom style="thin">
        <color auto="1"/>
      </bottom>
      <diagonal/>
    </border>
    <border>
      <left style="medium">
        <color rgb="FF000000"/>
      </left>
      <right/>
      <top/>
      <bottom style="thin">
        <color auto="1"/>
      </bottom>
      <diagonal/>
    </border>
    <border>
      <left style="medium">
        <color rgb="FF000000"/>
      </left>
      <right/>
      <top style="thin">
        <color auto="1"/>
      </top>
      <bottom/>
      <diagonal/>
    </border>
    <border>
      <left style="medium">
        <color rgb="FF000000"/>
      </left>
      <right/>
      <top style="thin">
        <color auto="1"/>
      </top>
      <bottom style="medium">
        <color rgb="FF000000"/>
      </bottom>
      <diagonal/>
    </border>
    <border>
      <left style="medium">
        <color indexed="64"/>
      </left>
      <right style="thin">
        <color auto="1"/>
      </right>
      <top style="thin">
        <color auto="1"/>
      </top>
      <bottom/>
      <diagonal/>
    </border>
    <border>
      <left style="medium">
        <color indexed="64"/>
      </left>
      <right style="thin">
        <color auto="1"/>
      </right>
      <top style="medium">
        <color rgb="FF000000"/>
      </top>
      <bottom style="thin">
        <color auto="1"/>
      </bottom>
      <diagonal/>
    </border>
    <border>
      <left style="medium">
        <color indexed="64"/>
      </left>
      <right style="medium">
        <color rgb="FF000000"/>
      </right>
      <top/>
      <bottom style="medium">
        <color indexed="64"/>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style="thin">
        <color auto="1"/>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style="medium">
        <color auto="1"/>
      </top>
      <bottom style="medium">
        <color indexed="64"/>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auto="1"/>
      </bottom>
      <diagonal/>
    </border>
  </borders>
  <cellStyleXfs count="1">
    <xf numFmtId="49" fontId="0" fillId="0" borderId="0"/>
  </cellStyleXfs>
  <cellXfs count="178">
    <xf numFmtId="49" fontId="0" fillId="0" borderId="0" pivotButton="0" quotePrefix="0" xfId="0"/>
    <xf numFmtId="49" fontId="7" fillId="0" borderId="0" applyAlignment="1" pivotButton="0" quotePrefix="0" xfId="0">
      <alignment vertical="center"/>
    </xf>
    <xf numFmtId="49" fontId="0" fillId="3" borderId="21" pivotButton="0" quotePrefix="0" xfId="0"/>
    <xf numFmtId="49" fontId="0" fillId="3" borderId="2" pivotButton="0" quotePrefix="0" xfId="0"/>
    <xf numFmtId="49" fontId="0" fillId="3" borderId="3" pivotButton="0" quotePrefix="0" xfId="0"/>
    <xf numFmtId="49" fontId="0" fillId="3" borderId="4" pivotButton="0" quotePrefix="0" xfId="0"/>
    <xf numFmtId="49" fontId="0" fillId="3" borderId="0" pivotButton="0" quotePrefix="0" xfId="0"/>
    <xf numFmtId="49" fontId="0" fillId="3" borderId="5" pivotButton="0" quotePrefix="0" xfId="0"/>
    <xf numFmtId="49" fontId="0" fillId="3" borderId="17" pivotButton="0" quotePrefix="0" xfId="0"/>
    <xf numFmtId="49" fontId="0" fillId="3" borderId="22" pivotButton="0" quotePrefix="0" xfId="0"/>
    <xf numFmtId="49" fontId="0" fillId="3" borderId="20" pivotButton="0" quotePrefix="0" xfId="0"/>
    <xf numFmtId="49" fontId="0" fillId="3" borderId="16" pivotButton="0" quotePrefix="0" xfId="0"/>
    <xf numFmtId="1" fontId="0" fillId="3" borderId="21" applyAlignment="1" pivotButton="0" quotePrefix="0" xfId="0">
      <alignment horizontal="center"/>
    </xf>
    <xf numFmtId="49" fontId="0" fillId="3" borderId="2" applyAlignment="1" pivotButton="0" quotePrefix="0" xfId="0">
      <alignment horizontal="center"/>
    </xf>
    <xf numFmtId="49" fontId="0" fillId="3" borderId="3" applyAlignment="1" pivotButton="0" quotePrefix="0" xfId="0">
      <alignment horizontal="center"/>
    </xf>
    <xf numFmtId="49" fontId="0" fillId="3" borderId="0" applyAlignment="1" pivotButton="0" quotePrefix="0" xfId="0">
      <alignment horizontal="center"/>
    </xf>
    <xf numFmtId="49" fontId="0" fillId="3" borderId="5" applyAlignment="1" pivotButton="0" quotePrefix="0" xfId="0">
      <alignment horizontal="center"/>
    </xf>
    <xf numFmtId="49" fontId="0" fillId="3" borderId="17" applyAlignment="1" pivotButton="0" quotePrefix="0" xfId="0">
      <alignment horizontal="center"/>
    </xf>
    <xf numFmtId="49" fontId="0" fillId="3" borderId="22" applyAlignment="1" pivotButton="0" quotePrefix="0" xfId="0">
      <alignment horizontal="center"/>
    </xf>
    <xf numFmtId="49" fontId="3" fillId="2" borderId="35" applyAlignment="1" applyProtection="1" pivotButton="0" quotePrefix="0" xfId="0">
      <alignment horizontal="center" vertical="center" wrapText="1"/>
      <protection locked="1" hidden="1"/>
    </xf>
    <xf numFmtId="9" fontId="1" fillId="0" borderId="0" applyAlignment="1" applyProtection="1" pivotButton="0" quotePrefix="0" xfId="0">
      <alignment vertical="center"/>
      <protection locked="1" hidden="1"/>
    </xf>
    <xf numFmtId="49" fontId="1" fillId="0" borderId="31" applyAlignment="1" applyProtection="1" pivotButton="0" quotePrefix="0" xfId="0">
      <alignment horizontal="center" vertical="center"/>
      <protection locked="1" hidden="1"/>
    </xf>
    <xf numFmtId="49" fontId="1" fillId="0" borderId="0" applyAlignment="1" applyProtection="1" pivotButton="0" quotePrefix="0" xfId="0">
      <alignment vertical="center"/>
      <protection locked="1" hidden="1"/>
    </xf>
    <xf numFmtId="1" fontId="3" fillId="2" borderId="37" applyAlignment="1" applyProtection="1" pivotButton="0" quotePrefix="0" xfId="0">
      <alignment horizontal="center" vertical="center" wrapText="1"/>
      <protection locked="1" hidden="1"/>
    </xf>
    <xf numFmtId="1" fontId="3" fillId="2" borderId="38" applyAlignment="1" applyProtection="1" pivotButton="0" quotePrefix="0" xfId="0">
      <alignment horizontal="center" vertical="center" wrapText="1"/>
      <protection locked="1" hidden="1"/>
    </xf>
    <xf numFmtId="49" fontId="1" fillId="0" borderId="0" applyAlignment="1" pivotButton="0" quotePrefix="0" xfId="0">
      <alignment horizontal="center" vertical="center"/>
    </xf>
    <xf numFmtId="164" fontId="3" fillId="0" borderId="0" applyAlignment="1" pivotButton="0" quotePrefix="0" xfId="0">
      <alignment vertical="center"/>
    </xf>
    <xf numFmtId="0" fontId="3" fillId="2" borderId="36" applyAlignment="1" pivotButton="0" quotePrefix="0" xfId="0">
      <alignment vertical="center" wrapText="1"/>
    </xf>
    <xf numFmtId="9" fontId="1" fillId="0" borderId="0" applyAlignment="1" pivotButton="0" quotePrefix="0" xfId="0">
      <alignment vertical="center"/>
    </xf>
    <xf numFmtId="49" fontId="1" fillId="0" borderId="0" applyAlignment="1" pivotButton="0" quotePrefix="0" xfId="0">
      <alignment vertical="center"/>
    </xf>
    <xf numFmtId="164" fontId="1" fillId="0" borderId="0" applyAlignment="1" pivotButton="0" quotePrefix="0" xfId="0">
      <alignment horizontal="center" vertical="center"/>
    </xf>
    <xf numFmtId="165" fontId="1" fillId="0" borderId="0" applyAlignment="1" pivotButton="0" quotePrefix="0" xfId="0">
      <alignment horizontal="left" vertical="center" wrapText="1"/>
    </xf>
    <xf numFmtId="1" fontId="1" fillId="0" borderId="0" applyAlignment="1" pivotButton="0" quotePrefix="0" xfId="0">
      <alignment vertical="center"/>
    </xf>
    <xf numFmtId="0" fontId="4" fillId="0" borderId="1" applyAlignment="1" applyProtection="1" pivotButton="0" quotePrefix="0" xfId="0">
      <alignment horizontal="left" vertical="center" wrapText="1"/>
      <protection locked="0" hidden="0"/>
    </xf>
    <xf numFmtId="0" fontId="4" fillId="0" borderId="14" applyAlignment="1" applyProtection="1" pivotButton="0" quotePrefix="0" xfId="0">
      <alignment horizontal="left" vertical="center" wrapText="1"/>
      <protection locked="0" hidden="0"/>
    </xf>
    <xf numFmtId="1"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center" vertical="center"/>
      <protection locked="1" hidden="1"/>
    </xf>
    <xf numFmtId="49" fontId="3" fillId="2" borderId="41" applyAlignment="1" applyProtection="1" pivotButton="0" quotePrefix="0" xfId="0">
      <alignment horizontal="right" vertical="center" wrapText="1"/>
      <protection locked="1" hidden="1"/>
    </xf>
    <xf numFmtId="49" fontId="3" fillId="2" borderId="42" applyAlignment="1" applyProtection="1" pivotButton="0" quotePrefix="0" xfId="0">
      <alignment horizontal="right" vertical="center" wrapText="1"/>
      <protection locked="1" hidden="1"/>
    </xf>
    <xf numFmtId="164" fontId="3" fillId="0" borderId="0" applyAlignment="1" applyProtection="1" pivotButton="0" quotePrefix="0" xfId="0">
      <alignment horizontal="center" vertical="center" wrapText="1"/>
      <protection locked="1" hidden="1"/>
    </xf>
    <xf numFmtId="1" fontId="3" fillId="2" borderId="32" applyAlignment="1" applyProtection="1" pivotButton="0" quotePrefix="0" xfId="0">
      <alignment horizontal="center" vertical="center" wrapText="1"/>
      <protection locked="1" hidden="1"/>
    </xf>
    <xf numFmtId="1" fontId="2" fillId="0" borderId="0" applyAlignment="1" pivotButton="0" quotePrefix="0" xfId="0">
      <alignment horizontal="right" vertical="center"/>
    </xf>
    <xf numFmtId="164" fontId="2" fillId="0" borderId="0" applyAlignment="1" pivotButton="0" quotePrefix="0" xfId="0">
      <alignment vertical="center"/>
    </xf>
    <xf numFmtId="0" fontId="4" fillId="0" borderId="43" applyAlignment="1" applyProtection="1" pivotButton="0" quotePrefix="0" xfId="0">
      <alignment horizontal="left" vertical="center" wrapText="1"/>
      <protection locked="0" hidden="0"/>
    </xf>
    <xf numFmtId="49" fontId="3" fillId="2" borderId="46" applyAlignment="1" pivotButton="0" quotePrefix="0" xfId="0">
      <alignment vertical="center" wrapText="1"/>
    </xf>
    <xf numFmtId="49" fontId="1" fillId="2" borderId="30" applyAlignment="1" pivotButton="0" quotePrefix="0" xfId="0">
      <alignment vertical="center" wrapText="1"/>
    </xf>
    <xf numFmtId="49" fontId="1" fillId="2" borderId="0" applyAlignment="1" pivotButton="0" quotePrefix="0" xfId="0">
      <alignment vertical="center" wrapText="1"/>
    </xf>
    <xf numFmtId="0" fontId="1" fillId="2" borderId="0" applyAlignment="1" pivotButton="0" quotePrefix="0" xfId="0">
      <alignment vertical="center" wrapText="1"/>
    </xf>
    <xf numFmtId="49" fontId="3" fillId="2" borderId="19" applyAlignment="1" pivotButton="0" quotePrefix="0" xfId="0">
      <alignment horizontal="center" vertical="center" wrapText="1"/>
    </xf>
    <xf numFmtId="165" fontId="6" fillId="2" borderId="19" applyAlignment="1" applyProtection="1" pivotButton="0" quotePrefix="0" xfId="0">
      <alignment horizontal="center" vertical="center" wrapText="1"/>
      <protection locked="1" hidden="1"/>
    </xf>
    <xf numFmtId="49" fontId="3" fillId="2" borderId="29" applyAlignment="1" pivotButton="0" quotePrefix="0" xfId="0">
      <alignment vertical="center" wrapText="1"/>
    </xf>
    <xf numFmtId="49" fontId="3" fillId="2" borderId="0" applyAlignment="1" pivotButton="0" quotePrefix="0" xfId="0">
      <alignment vertical="center" wrapText="1"/>
    </xf>
    <xf numFmtId="0" fontId="3" fillId="2" borderId="30" applyAlignment="1" pivotButton="0" quotePrefix="0" xfId="0">
      <alignment vertical="center" wrapText="1"/>
    </xf>
    <xf numFmtId="1" fontId="1" fillId="5" borderId="11" applyAlignment="1" pivotButton="0" quotePrefix="0" xfId="0">
      <alignment horizontal="center" vertical="center"/>
    </xf>
    <xf numFmtId="1" fontId="1" fillId="5" borderId="1" applyAlignment="1" pivotButton="0" quotePrefix="0" xfId="0">
      <alignment horizontal="center" vertical="center"/>
    </xf>
    <xf numFmtId="1" fontId="1" fillId="5" borderId="14" applyAlignment="1" pivotButton="0" quotePrefix="0" xfId="0">
      <alignment horizontal="center" vertical="center"/>
    </xf>
    <xf numFmtId="1" fontId="3" fillId="2" borderId="19" applyAlignment="1" pivotButton="0" quotePrefix="0" xfId="0">
      <alignment horizontal="center" vertical="center"/>
    </xf>
    <xf numFmtId="1" fontId="1" fillId="5" borderId="43" applyAlignment="1" pivotButton="0" quotePrefix="0" xfId="0">
      <alignment horizontal="center" vertical="center"/>
    </xf>
    <xf numFmtId="1" fontId="1" fillId="5" borderId="10" applyAlignment="1" pivotButton="0" quotePrefix="0" xfId="0">
      <alignment horizontal="center" vertical="center"/>
    </xf>
    <xf numFmtId="1" fontId="1" fillId="2" borderId="19" applyAlignment="1" pivotButton="0" quotePrefix="0" xfId="0">
      <alignment horizontal="center" vertical="center"/>
    </xf>
    <xf numFmtId="49" fontId="3" fillId="2" borderId="30" applyAlignment="1" pivotButton="0" quotePrefix="0" xfId="0">
      <alignment vertical="center" wrapText="1"/>
    </xf>
    <xf numFmtId="1" fontId="3" fillId="2" borderId="0" applyAlignment="1" pivotButton="0" quotePrefix="0" xfId="0">
      <alignment horizontal="center" vertical="center" wrapText="1"/>
    </xf>
    <xf numFmtId="165" fontId="6" fillId="2" borderId="48" applyAlignment="1" applyProtection="1" pivotButton="0" quotePrefix="0" xfId="0">
      <alignment horizontal="center" vertical="center" wrapText="1"/>
      <protection locked="1" hidden="1"/>
    </xf>
    <xf numFmtId="49" fontId="3" fillId="2" borderId="36" applyAlignment="1" pivotButton="0" quotePrefix="0" xfId="0">
      <alignment vertical="center" wrapText="1"/>
    </xf>
    <xf numFmtId="0" fontId="3" fillId="2" borderId="0" applyAlignment="1" pivotButton="0" quotePrefix="0" xfId="0">
      <alignment vertical="center" wrapText="1"/>
    </xf>
    <xf numFmtId="164" fontId="3" fillId="3" borderId="18" applyAlignment="1" pivotButton="0" quotePrefix="0" xfId="0">
      <alignment horizontal="center" vertical="center" wrapText="1"/>
    </xf>
    <xf numFmtId="165" fontId="3" fillId="3" borderId="18" applyAlignment="1" pivotButton="0" quotePrefix="0" xfId="0">
      <alignment horizontal="center" vertical="center" wrapText="1"/>
    </xf>
    <xf numFmtId="1" fontId="3" fillId="3" borderId="18" applyAlignment="1" pivotButton="0" quotePrefix="0" xfId="0">
      <alignment horizontal="center" vertical="center" wrapText="1"/>
    </xf>
    <xf numFmtId="0" fontId="1" fillId="4" borderId="28" applyAlignment="1" applyProtection="1" pivotButton="0" quotePrefix="0" xfId="0">
      <alignment horizontal="center" vertical="center" wrapText="1"/>
      <protection locked="0" hidden="0"/>
    </xf>
    <xf numFmtId="1" fontId="4" fillId="2" borderId="5" applyAlignment="1" pivotButton="0" quotePrefix="0" xfId="0">
      <alignment vertical="center"/>
    </xf>
    <xf numFmtId="0" fontId="1" fillId="4" borderId="12" applyAlignment="1" applyProtection="1" pivotButton="0" quotePrefix="0" xfId="0">
      <alignment horizontal="center" vertical="center" wrapText="1"/>
      <protection locked="0" hidden="0"/>
    </xf>
    <xf numFmtId="0" fontId="1" fillId="4" borderId="6" applyAlignment="1" applyProtection="1" pivotButton="0" quotePrefix="0" xfId="0">
      <alignment horizontal="center" vertical="center" wrapText="1"/>
      <protection locked="0" hidden="0"/>
    </xf>
    <xf numFmtId="0" fontId="1" fillId="4" borderId="55" applyAlignment="1" applyProtection="1" pivotButton="0" quotePrefix="0" xfId="0">
      <alignment horizontal="center" vertical="center" wrapText="1"/>
      <protection locked="0" hidden="0"/>
    </xf>
    <xf numFmtId="1" fontId="5" fillId="2" borderId="3" applyAlignment="1" pivotButton="0" quotePrefix="0" xfId="0">
      <alignment horizontal="center" vertical="center"/>
    </xf>
    <xf numFmtId="0" fontId="1" fillId="4" borderId="56" applyAlignment="1" applyProtection="1" pivotButton="0" quotePrefix="0" xfId="0">
      <alignment horizontal="center" vertical="center" wrapText="1"/>
      <protection locked="0" hidden="0"/>
    </xf>
    <xf numFmtId="1" fontId="4" fillId="2" borderId="47" applyAlignment="1" pivotButton="0" quotePrefix="0" xfId="0">
      <alignment vertical="center"/>
    </xf>
    <xf numFmtId="0" fontId="1" fillId="4" borderId="39" applyAlignment="1" applyProtection="1" pivotButton="0" quotePrefix="0" xfId="0">
      <alignment horizontal="center" vertical="center" wrapText="1"/>
      <protection locked="0" hidden="0"/>
    </xf>
    <xf numFmtId="49" fontId="3" fillId="2" borderId="40" applyAlignment="1" pivotButton="0" quotePrefix="0" xfId="0">
      <alignment horizontal="center" vertical="center" wrapText="1"/>
    </xf>
    <xf numFmtId="49" fontId="3" fillId="2" borderId="57" applyAlignment="1" pivotButton="0" quotePrefix="0" xfId="0">
      <alignment horizontal="center" vertical="center" wrapText="1"/>
    </xf>
    <xf numFmtId="1" fontId="3" fillId="2" borderId="17" applyAlignment="1" pivotButton="0" quotePrefix="0" xfId="0">
      <alignment horizontal="center" vertical="center" wrapText="1"/>
    </xf>
    <xf numFmtId="165" fontId="6" fillId="2" borderId="20" applyAlignment="1" applyProtection="1" pivotButton="0" quotePrefix="0" xfId="0">
      <alignment horizontal="center" vertical="center" wrapText="1"/>
      <protection locked="1" hidden="1"/>
    </xf>
    <xf numFmtId="1" fontId="5" fillId="2" borderId="22" applyAlignment="1" pivotButton="0" quotePrefix="0" xfId="0">
      <alignment horizontal="center" vertical="center"/>
    </xf>
    <xf numFmtId="1" fontId="1" fillId="5" borderId="15" applyAlignment="1" pivotButton="0" quotePrefix="0" xfId="0">
      <alignment horizontal="center" vertical="center"/>
    </xf>
    <xf numFmtId="0" fontId="4" fillId="0" borderId="15" applyAlignment="1" applyProtection="1" pivotButton="0" quotePrefix="0" xfId="0">
      <alignment horizontal="left" vertical="center" wrapText="1"/>
      <protection locked="0" hidden="0"/>
    </xf>
    <xf numFmtId="1" fontId="4" fillId="2" borderId="3" applyAlignment="1" pivotButton="0" quotePrefix="0" xfId="0">
      <alignment vertical="center"/>
    </xf>
    <xf numFmtId="0" fontId="1" fillId="4" borderId="13" applyAlignment="1" applyProtection="1" pivotButton="0" quotePrefix="0" xfId="0">
      <alignment horizontal="center" vertical="center" wrapText="1"/>
      <protection locked="0" hidden="0"/>
    </xf>
    <xf numFmtId="1" fontId="4" fillId="2" borderId="22" applyAlignment="1" pivotButton="0" quotePrefix="0" xfId="0">
      <alignment vertical="center"/>
    </xf>
    <xf numFmtId="0" fontId="1" fillId="0" borderId="49" applyAlignment="1" pivotButton="0" quotePrefix="0" xfId="0">
      <alignment horizontal="left" vertical="center" wrapText="1" indent="1"/>
    </xf>
    <xf numFmtId="0" fontId="1" fillId="0" borderId="27" applyAlignment="1" pivotButton="0" quotePrefix="0" xfId="0">
      <alignment horizontal="left" vertical="center" wrapText="1" indent="1"/>
    </xf>
    <xf numFmtId="0" fontId="1" fillId="0" borderId="7" applyAlignment="1" pivotButton="0" quotePrefix="0" xfId="0">
      <alignment horizontal="left" vertical="center" wrapText="1" indent="1"/>
    </xf>
    <xf numFmtId="0" fontId="1" fillId="0" borderId="58" applyAlignment="1" pivotButton="0" quotePrefix="0" xfId="0">
      <alignment horizontal="left" vertical="center" wrapText="1" indent="1"/>
    </xf>
    <xf numFmtId="0" fontId="1" fillId="0" borderId="60" applyAlignment="1" pivotButton="0" quotePrefix="0" xfId="0">
      <alignment horizontal="left" vertical="center" wrapText="1" indent="1"/>
    </xf>
    <xf numFmtId="0" fontId="1" fillId="0" borderId="4" applyAlignment="1" pivotButton="0" quotePrefix="0" xfId="0">
      <alignment horizontal="left" vertical="center" wrapText="1" indent="1"/>
    </xf>
    <xf numFmtId="0" fontId="4" fillId="0" borderId="26" applyAlignment="1" applyProtection="1" pivotButton="0" quotePrefix="0" xfId="0">
      <alignment horizontal="center" vertical="center"/>
      <protection locked="0" hidden="0"/>
    </xf>
    <xf numFmtId="0" fontId="4" fillId="0" borderId="9" applyAlignment="1" applyProtection="1" pivotButton="0" quotePrefix="0" xfId="0">
      <alignment horizontal="center" vertical="center"/>
      <protection locked="0" hidden="0"/>
    </xf>
    <xf numFmtId="0" fontId="4" fillId="0" borderId="25" applyAlignment="1" applyProtection="1" pivotButton="0" quotePrefix="0" xfId="0">
      <alignment horizontal="center" vertical="center"/>
      <protection locked="0" hidden="0"/>
    </xf>
    <xf numFmtId="0" fontId="5" fillId="2" borderId="21" applyAlignment="1" pivotButton="0" quotePrefix="0" xfId="0">
      <alignment horizontal="center" vertical="center"/>
    </xf>
    <xf numFmtId="0" fontId="4" fillId="0" borderId="44"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4" fillId="2" borderId="21" applyAlignment="1" pivotButton="0" quotePrefix="0" xfId="0">
      <alignment horizontal="center" vertical="center"/>
    </xf>
    <xf numFmtId="0" fontId="4" fillId="0" borderId="1" applyAlignment="1" applyProtection="1" pivotButton="0" quotePrefix="0" xfId="0">
      <alignment horizontal="center" vertical="center"/>
      <protection locked="0" hidden="0"/>
    </xf>
    <xf numFmtId="0" fontId="5" fillId="2" borderId="4" applyAlignment="1" pivotButton="0" quotePrefix="0" xfId="0">
      <alignment horizontal="center" vertical="center" wrapText="1"/>
    </xf>
    <xf numFmtId="0" fontId="4" fillId="0" borderId="59" applyAlignment="1" applyProtection="1" pivotButton="0" quotePrefix="0" xfId="0">
      <alignment horizontal="center" vertical="center"/>
      <protection locked="0" hidden="0"/>
    </xf>
    <xf numFmtId="0" fontId="4" fillId="0" borderId="10" applyAlignment="1" applyProtection="1" pivotButton="0" quotePrefix="0" xfId="0">
      <alignment horizontal="center" vertical="center"/>
      <protection locked="0" hidden="0"/>
    </xf>
    <xf numFmtId="0" fontId="4" fillId="0" borderId="49" applyAlignment="1" pivotButton="0" quotePrefix="0" xfId="0">
      <alignment horizontal="left" vertical="center" wrapText="1" indent="1"/>
    </xf>
    <xf numFmtId="0" fontId="4" fillId="0" borderId="27" applyAlignment="1" pivotButton="0" quotePrefix="0" xfId="0">
      <alignment horizontal="left" vertical="center" wrapText="1" indent="1"/>
    </xf>
    <xf numFmtId="0" fontId="4" fillId="0" borderId="24" applyAlignment="1" pivotButton="0" quotePrefix="0" xfId="0">
      <alignment horizontal="left" vertical="center" wrapText="1" indent="1"/>
    </xf>
    <xf numFmtId="0" fontId="4" fillId="0" borderId="0" applyAlignment="1" pivotButton="0" quotePrefix="0" xfId="0">
      <alignment horizontal="left" vertical="center" wrapText="1" indent="1"/>
    </xf>
    <xf numFmtId="0" fontId="4" fillId="0" borderId="50" applyAlignment="1" pivotButton="0" quotePrefix="0" xfId="0">
      <alignment horizontal="left" vertical="center" wrapText="1" indent="1"/>
    </xf>
    <xf numFmtId="0" fontId="4" fillId="0" borderId="51" applyAlignment="1" pivotButton="0" quotePrefix="0" xfId="0">
      <alignment horizontal="left" vertical="center" wrapText="1" indent="1"/>
    </xf>
    <xf numFmtId="0" fontId="4" fillId="0" borderId="52" applyAlignment="1" pivotButton="0" quotePrefix="0" xfId="0">
      <alignment horizontal="left" vertical="center" wrapText="1" indent="1"/>
    </xf>
    <xf numFmtId="0" fontId="4" fillId="0" borderId="53" applyAlignment="1" pivotButton="0" quotePrefix="0" xfId="0">
      <alignment horizontal="left" vertical="center" wrapText="1" indent="1"/>
    </xf>
    <xf numFmtId="0" fontId="4" fillId="0" borderId="54" applyAlignment="1" pivotButton="0" quotePrefix="0" xfId="0">
      <alignment horizontal="left" vertical="center" wrapText="1" indent="1"/>
    </xf>
    <xf numFmtId="0" fontId="8" fillId="0" borderId="11" applyAlignment="1" applyProtection="1" pivotButton="0" quotePrefix="0" xfId="0">
      <alignment horizontal="left" vertical="center" wrapText="1"/>
      <protection locked="0" hidden="0"/>
    </xf>
    <xf numFmtId="0" fontId="8" fillId="0" borderId="1" applyAlignment="1" applyProtection="1" pivotButton="0" quotePrefix="0" xfId="0">
      <alignment horizontal="left" vertical="center" wrapText="1"/>
      <protection locked="0" hidden="0"/>
    </xf>
    <xf numFmtId="0" fontId="8" fillId="0" borderId="14" applyAlignment="1" applyProtection="1" pivotButton="0" quotePrefix="0" xfId="0">
      <alignment horizontal="left" vertical="center" wrapText="1"/>
      <protection locked="0" hidden="0"/>
    </xf>
    <xf numFmtId="164" fontId="5" fillId="2" borderId="16" applyAlignment="1" pivotButton="0" quotePrefix="0" xfId="0">
      <alignment horizontal="center" vertical="center" wrapText="1"/>
    </xf>
    <xf numFmtId="9" fontId="3" fillId="3" borderId="20" applyAlignment="1" pivotButton="0" quotePrefix="0" xfId="0">
      <alignment horizontal="center" vertical="center" wrapText="1"/>
    </xf>
    <xf numFmtId="49" fontId="3" fillId="3" borderId="30" applyAlignment="1" pivotButton="0" quotePrefix="0" xfId="0">
      <alignment horizontal="center" vertical="center" wrapText="1"/>
    </xf>
    <xf numFmtId="49" fontId="3" fillId="3" borderId="20" applyAlignment="1" pivotButton="0" quotePrefix="0" xfId="0">
      <alignment horizontal="center" vertical="center" wrapText="1"/>
    </xf>
    <xf numFmtId="0" fontId="3" fillId="3" borderId="4" applyAlignment="1" pivotButton="0" quotePrefix="0" xfId="0">
      <alignment horizontal="center" vertical="center" wrapText="1"/>
    </xf>
    <xf numFmtId="0" fontId="1" fillId="0" borderId="0" applyAlignment="1" pivotButton="0" quotePrefix="0" xfId="0">
      <alignment vertical="center"/>
    </xf>
    <xf numFmtId="49" fontId="9" fillId="6" borderId="18" applyAlignment="1" pivotButton="0" quotePrefix="0" xfId="0">
      <alignment horizontal="center" vertical="center"/>
    </xf>
    <xf numFmtId="49" fontId="9" fillId="6" borderId="8" applyAlignment="1" pivotButton="0" quotePrefix="0" xfId="0">
      <alignment vertical="center"/>
    </xf>
    <xf numFmtId="49" fontId="3" fillId="6" borderId="18" applyAlignment="1" pivotButton="0" quotePrefix="0" xfId="0">
      <alignment vertical="center"/>
    </xf>
    <xf numFmtId="164" fontId="3" fillId="7" borderId="0" applyAlignment="1" pivotButton="0" quotePrefix="0" xfId="0">
      <alignment vertical="center"/>
    </xf>
    <xf numFmtId="0" fontId="9" fillId="6" borderId="7" applyAlignment="1" pivotButton="0" quotePrefix="0" xfId="0">
      <alignment horizontal="center" vertical="center"/>
    </xf>
    <xf numFmtId="0" fontId="9" fillId="6" borderId="8" applyAlignment="1" pivotButton="0" quotePrefix="0" xfId="0">
      <alignment horizontal="center" vertical="center"/>
    </xf>
    <xf numFmtId="9" fontId="3" fillId="3" borderId="19" applyAlignment="1" pivotButton="0" quotePrefix="0" xfId="0">
      <alignment horizontal="center" vertical="center" wrapText="1"/>
    </xf>
    <xf numFmtId="9" fontId="3" fillId="3" borderId="48" applyAlignment="1" pivotButton="0" quotePrefix="0" xfId="0">
      <alignment horizontal="center" vertical="center" wrapText="1"/>
    </xf>
    <xf numFmtId="9" fontId="3" fillId="3" borderId="20" applyAlignment="1" pivotButton="0" quotePrefix="0" xfId="0">
      <alignment horizontal="center" vertical="center" wrapText="1"/>
    </xf>
    <xf numFmtId="49" fontId="3" fillId="3" borderId="35" applyAlignment="1" pivotButton="0" quotePrefix="0" xfId="0">
      <alignment horizontal="center" vertical="center" wrapText="1"/>
    </xf>
    <xf numFmtId="49" fontId="3" fillId="3" borderId="30" applyAlignment="1" pivotButton="0" quotePrefix="0" xfId="0">
      <alignment horizontal="center" vertical="center" wrapText="1"/>
    </xf>
    <xf numFmtId="49" fontId="3" fillId="3" borderId="36" applyAlignment="1" pivotButton="0" quotePrefix="0" xfId="0">
      <alignment horizontal="center" vertical="center" wrapText="1"/>
    </xf>
    <xf numFmtId="9" fontId="3" fillId="3" borderId="32" applyAlignment="1" pivotButton="0" quotePrefix="0" xfId="0">
      <alignment horizontal="center" vertical="center" wrapText="1"/>
    </xf>
    <xf numFmtId="9" fontId="3" fillId="3" borderId="33" applyAlignment="1" pivotButton="0" quotePrefix="0" xfId="0">
      <alignment horizontal="center" vertical="center" wrapText="1"/>
    </xf>
    <xf numFmtId="9" fontId="3" fillId="3" borderId="34" applyAlignment="1" pivotButton="0" quotePrefix="0" xfId="0">
      <alignment horizontal="center" vertical="center" wrapText="1"/>
    </xf>
    <xf numFmtId="49" fontId="3" fillId="3" borderId="45" applyAlignment="1" pivotButton="0" quotePrefix="0" xfId="0">
      <alignment horizontal="center" vertical="center" wrapText="1"/>
    </xf>
    <xf numFmtId="9" fontId="3" fillId="3" borderId="35" applyAlignment="1" pivotButton="0" quotePrefix="0" xfId="0">
      <alignment horizontal="center" vertical="center" wrapText="1"/>
    </xf>
    <xf numFmtId="9" fontId="3" fillId="3" borderId="30" applyAlignment="1" pivotButton="0" quotePrefix="0" xfId="0">
      <alignment horizontal="center" vertical="center" wrapText="1"/>
    </xf>
    <xf numFmtId="9" fontId="3" fillId="3" borderId="36" applyAlignment="1" pivotButton="0" quotePrefix="0" xfId="0">
      <alignment horizontal="center" vertical="center" wrapText="1"/>
    </xf>
    <xf numFmtId="49" fontId="3" fillId="3" borderId="19" applyAlignment="1" pivotButton="0" quotePrefix="0" xfId="0">
      <alignment horizontal="center" vertical="center" wrapText="1"/>
    </xf>
    <xf numFmtId="49" fontId="3" fillId="3" borderId="48" applyAlignment="1" pivotButton="0" quotePrefix="0" xfId="0">
      <alignment horizontal="center" vertical="center" wrapText="1"/>
    </xf>
    <xf numFmtId="49" fontId="3" fillId="3" borderId="20" applyAlignment="1" pivotButton="0" quotePrefix="0" xfId="0">
      <alignment horizontal="center" vertical="center" wrapText="1"/>
    </xf>
    <xf numFmtId="164" fontId="3" fillId="8" borderId="0" applyAlignment="1" pivotButton="0" quotePrefix="0" xfId="0">
      <alignment vertical="center"/>
    </xf>
    <xf numFmtId="164" fontId="3" fillId="2" borderId="0" applyAlignment="1" pivotButton="0" quotePrefix="0" xfId="0">
      <alignment vertical="center"/>
    </xf>
    <xf numFmtId="164" fontId="1" fillId="0" borderId="0" applyAlignment="1" pivotButton="0" quotePrefix="0" xfId="0">
      <alignment horizontal="center" vertical="center"/>
    </xf>
    <xf numFmtId="165" fontId="1" fillId="0" borderId="0" applyAlignment="1" pivotButton="0" quotePrefix="0" xfId="0">
      <alignment horizontal="left" vertical="center" wrapText="1"/>
    </xf>
    <xf numFmtId="164" fontId="3" fillId="0" borderId="0" applyAlignment="1" pivotButton="0" quotePrefix="0" xfId="0">
      <alignment vertical="center"/>
    </xf>
    <xf numFmtId="0" fontId="0" fillId="0" borderId="0" pivotButton="0" quotePrefix="0" xfId="0"/>
    <xf numFmtId="0" fontId="9" fillId="6" borderId="61" applyAlignment="1" pivotButton="0" quotePrefix="0" xfId="0">
      <alignment horizontal="center" vertical="center"/>
    </xf>
    <xf numFmtId="0" fontId="0" fillId="0" borderId="8" pivotButton="0" quotePrefix="0" xfId="0"/>
    <xf numFmtId="164" fontId="3" fillId="3" borderId="18" applyAlignment="1" pivotButton="0" quotePrefix="0" xfId="0">
      <alignment horizontal="center" vertical="center" wrapText="1"/>
    </xf>
    <xf numFmtId="165" fontId="3" fillId="3" borderId="18" applyAlignment="1" pivotButton="0" quotePrefix="0" xfId="0">
      <alignment horizontal="center" vertical="center" wrapText="1"/>
    </xf>
    <xf numFmtId="49" fontId="3" fillId="3" borderId="66" applyAlignment="1" pivotButton="0" quotePrefix="0" xfId="0">
      <alignment horizontal="center" vertical="center" wrapText="1"/>
    </xf>
    <xf numFmtId="9" fontId="3" fillId="3" borderId="31" applyAlignment="1" pivotButton="0" quotePrefix="0" xfId="0">
      <alignment horizontal="center" vertical="center" wrapText="1"/>
    </xf>
    <xf numFmtId="0" fontId="0" fillId="0" borderId="30" pivotButton="0" quotePrefix="0" xfId="0"/>
    <xf numFmtId="0" fontId="0" fillId="0" borderId="33" pivotButton="0" quotePrefix="0" xfId="0"/>
    <xf numFmtId="0" fontId="0" fillId="0" borderId="36" pivotButton="0" quotePrefix="0" xfId="0"/>
    <xf numFmtId="0" fontId="0" fillId="0" borderId="34" pivotButton="0" quotePrefix="0" xfId="0"/>
    <xf numFmtId="165" fontId="6" fillId="2" borderId="19" applyAlignment="1" applyProtection="1" pivotButton="0" quotePrefix="0" xfId="0">
      <alignment horizontal="center" vertical="center" wrapText="1"/>
      <protection locked="1" hidden="1"/>
    </xf>
    <xf numFmtId="164" fontId="3" fillId="7" borderId="0" applyAlignment="1" pivotButton="0" quotePrefix="0" xfId="0">
      <alignment vertical="center"/>
    </xf>
    <xf numFmtId="49" fontId="3" fillId="3" borderId="67" applyAlignment="1" pivotButton="0" quotePrefix="0" xfId="0">
      <alignment horizontal="center" vertical="center" wrapText="1"/>
    </xf>
    <xf numFmtId="9" fontId="3" fillId="3" borderId="66" applyAlignment="1" pivotButton="0" quotePrefix="0" xfId="0">
      <alignment horizontal="center" vertical="center" wrapText="1"/>
    </xf>
    <xf numFmtId="0" fontId="0" fillId="0" borderId="45" pivotButton="0" quotePrefix="0" xfId="0"/>
    <xf numFmtId="49" fontId="3" fillId="3" borderId="62" applyAlignment="1" pivotButton="0" quotePrefix="0" xfId="0">
      <alignment horizontal="center" vertical="center" wrapText="1"/>
    </xf>
    <xf numFmtId="9" fontId="3" fillId="3" borderId="62" applyAlignment="1" pivotButton="0" quotePrefix="0" xfId="0">
      <alignment horizontal="center" vertical="center" wrapText="1"/>
    </xf>
    <xf numFmtId="0" fontId="0" fillId="0" borderId="64" pivotButton="0" quotePrefix="0" xfId="0"/>
    <xf numFmtId="0" fontId="0" fillId="0" borderId="65" pivotButton="0" quotePrefix="0" xfId="0"/>
    <xf numFmtId="165" fontId="6" fillId="2" borderId="48" applyAlignment="1" applyProtection="1" pivotButton="0" quotePrefix="0" xfId="0">
      <alignment horizontal="center" vertical="center" wrapText="1"/>
      <protection locked="1" hidden="1"/>
    </xf>
    <xf numFmtId="164" fontId="5" fillId="2" borderId="16" applyAlignment="1" pivotButton="0" quotePrefix="0" xfId="0">
      <alignment horizontal="center" vertical="center" wrapText="1"/>
    </xf>
    <xf numFmtId="165" fontId="6" fillId="2" borderId="20" applyAlignment="1" applyProtection="1" pivotButton="0" quotePrefix="0" xfId="0">
      <alignment horizontal="center" vertical="center" wrapText="1"/>
      <protection locked="1" hidden="1"/>
    </xf>
    <xf numFmtId="164" fontId="2" fillId="0" borderId="0" applyAlignment="1" pivotButton="0" quotePrefix="0" xfId="0">
      <alignment vertical="center"/>
    </xf>
    <xf numFmtId="164" fontId="3" fillId="2" borderId="0" applyAlignment="1" pivotButton="0" quotePrefix="0" xfId="0">
      <alignment vertical="center"/>
    </xf>
    <xf numFmtId="164" fontId="3" fillId="0" borderId="0" applyAlignment="1" applyProtection="1" pivotButton="0" quotePrefix="0" xfId="0">
      <alignment horizontal="center" vertical="center" wrapText="1"/>
      <protection locked="1" hidden="1"/>
    </xf>
    <xf numFmtId="164" fontId="3" fillId="8" borderId="0" applyAlignment="1" pivotButton="0" quotePrefix="0" xfId="0">
      <alignment vertical="center"/>
    </xf>
    <xf numFmtId="164" fontId="2" fillId="0" borderId="0" applyAlignment="1" applyProtection="1" pivotButton="0" quotePrefix="0" xfId="0">
      <alignment horizontal="center" vertical="center"/>
      <protection locked="1" hidden="1"/>
    </xf>
    <xf numFmtId="0" fontId="10" fillId="0"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50"/>
  <sheetViews>
    <sheetView tabSelected="1" topLeftCell="A24" zoomScaleNormal="100" workbookViewId="0">
      <selection activeCell="H37" sqref="H37"/>
    </sheetView>
  </sheetViews>
  <sheetFormatPr baseColWidth="8" defaultColWidth="8.83203125" defaultRowHeight="15.75" customHeight="1"/>
  <cols>
    <col width="14.5" customWidth="1" style="25" min="1" max="1"/>
    <col width="14.83203125" bestFit="1" customWidth="1" style="28" min="2" max="2"/>
    <col width="60.58203125" customWidth="1" style="29" min="3" max="3"/>
    <col width="15.58203125" customWidth="1" style="29" min="4" max="4"/>
    <col width="7.58203125" bestFit="1" customWidth="1" style="146" min="5" max="5"/>
    <col width="10.5" bestFit="1" customWidth="1" style="146" min="6" max="6"/>
    <col width="51.08203125" customWidth="1" style="147" min="7" max="7"/>
    <col width="13.58203125" bestFit="1" customWidth="1" style="32" min="8" max="8"/>
    <col width="8.25" customWidth="1" style="148" min="9" max="9"/>
    <col width="28.83203125" customWidth="1" style="29" min="10" max="10"/>
    <col width="8.83203125" customWidth="1" style="29" min="11" max="16384"/>
  </cols>
  <sheetData>
    <row r="1" ht="15.65" customHeight="1" s="149" thickBot="1">
      <c r="A1" s="150" t="n"/>
      <c r="B1" s="151" t="n"/>
      <c r="C1" s="122" t="inlineStr">
        <is>
          <t>Major Assignment 2 Grading Sheet (03/17/2025)</t>
        </is>
      </c>
      <c r="D1" s="123" t="n"/>
      <c r="E1" s="124" t="n"/>
      <c r="F1" s="124" t="n"/>
      <c r="G1" s="124" t="n"/>
      <c r="H1" s="124" t="n"/>
    </row>
    <row r="2" ht="31.5" customHeight="1" s="149" thickBot="1">
      <c r="A2" s="132" t="inlineStr">
        <is>
          <t>Rubric Category</t>
        </is>
      </c>
      <c r="B2" s="130" t="inlineStr">
        <is>
          <t>(% weighting for assignment)</t>
        </is>
      </c>
      <c r="C2" s="120" t="inlineStr">
        <is>
          <t>Requirements for full credit</t>
        </is>
      </c>
      <c r="D2" s="143" t="inlineStr">
        <is>
          <t>Did you meet the requirements?</t>
        </is>
      </c>
      <c r="E2" s="152" t="inlineStr">
        <is>
          <t>Possible Points</t>
        </is>
      </c>
      <c r="F2" s="152" t="inlineStr">
        <is>
          <t>Your Points</t>
        </is>
      </c>
      <c r="G2" s="153" t="inlineStr">
        <is>
          <t>Comments</t>
        </is>
      </c>
      <c r="H2" s="67" t="inlineStr">
        <is>
          <t>Rubric Score</t>
        </is>
      </c>
      <c r="J2" s="121" t="n"/>
    </row>
    <row r="3" ht="46.5" customHeight="1" s="149">
      <c r="A3" s="154" t="inlineStr">
        <is>
          <t>Income and Projection (Calculations)</t>
        </is>
      </c>
      <c r="B3" s="155" t="n">
        <v>0.19</v>
      </c>
      <c r="C3" s="104" t="inlineStr">
        <is>
          <t>You have entered your full name in the field provided.  (Note that entering your name on this sheet is required in order to complete the assignment.) (1 point)</t>
        </is>
      </c>
      <c r="D3" s="68" t="n"/>
      <c r="E3" s="53" t="n">
        <v>1</v>
      </c>
      <c r="F3" s="93" t="n"/>
      <c r="G3" s="113" t="n"/>
      <c r="H3" s="69" t="n"/>
      <c r="J3" s="121" t="n"/>
    </row>
    <row r="4" ht="31" customHeight="1" s="149">
      <c r="A4" s="156" t="n"/>
      <c r="B4" s="157" t="n"/>
      <c r="C4" s="105" t="inlineStr">
        <is>
          <t>You have completed the CPI table appropriately based on the given starting month and year.</t>
        </is>
      </c>
      <c r="D4" s="70" t="n"/>
      <c r="E4" s="54" t="n">
        <v>6</v>
      </c>
      <c r="F4" s="94" t="n"/>
      <c r="G4" s="114" t="n"/>
      <c r="H4" s="69" t="n"/>
    </row>
    <row r="5" ht="46.5" customHeight="1" s="149">
      <c r="A5" s="156" t="n"/>
      <c r="B5" s="157" t="n"/>
      <c r="C5" s="106" t="inlineStr">
        <is>
          <t>You have correctly calculated the slope and y-intercept of the best-fit line for your CPI values using the appropriate Excel functions with appropriate cell references. (2 points each)</t>
        </is>
      </c>
      <c r="D5" s="71" t="n"/>
      <c r="E5" s="54" t="n">
        <v>4</v>
      </c>
      <c r="F5" s="94" t="n"/>
      <c r="G5" s="114" t="n"/>
      <c r="H5" s="69" t="n"/>
    </row>
    <row r="6" ht="46.5" customHeight="1" s="149">
      <c r="A6" s="156" t="n"/>
      <c r="B6" s="157" t="n"/>
      <c r="C6" s="105" t="inlineStr">
        <is>
          <t>Your projection year entry (1 point), projected CPI formula (3 points), and inflation rate formula (2 points) are correct and use appropriate cell references.</t>
        </is>
      </c>
      <c r="D6" s="71" t="n"/>
      <c r="E6" s="54" t="n">
        <v>6</v>
      </c>
      <c r="F6" s="94" t="n"/>
      <c r="G6" s="114" t="n"/>
      <c r="H6" s="69" t="n"/>
    </row>
    <row r="7" ht="62" customHeight="1" s="149">
      <c r="A7" s="156" t="n"/>
      <c r="B7" s="157" t="n"/>
      <c r="C7" s="107" t="inlineStr">
        <is>
          <t>You have used an Excel formula to bring your Current Income value forward (1 point), and your 5-year Income Projection (3 points) and Projected Monthly Income (2 points) formulas are correct and use appropriate cell references.</t>
        </is>
      </c>
      <c r="D7" s="71" t="n"/>
      <c r="E7" s="54" t="n">
        <v>6</v>
      </c>
      <c r="F7" s="94" t="n"/>
      <c r="G7" s="114" t="n"/>
      <c r="H7" s="69" t="n"/>
    </row>
    <row r="8" ht="31" customHeight="1" s="149">
      <c r="A8" s="158" t="n"/>
      <c r="B8" s="159" t="n"/>
      <c r="C8" s="108" t="inlineStr">
        <is>
          <t>You have explicitly formatted all entries as directed in the instructions.</t>
        </is>
      </c>
      <c r="D8" s="72" t="n"/>
      <c r="E8" s="55" t="n">
        <v>3</v>
      </c>
      <c r="F8" s="95" t="n"/>
      <c r="G8" s="115" t="n"/>
      <c r="H8" s="69" t="n"/>
    </row>
    <row r="9" ht="16" customHeight="1" s="149" thickBot="1">
      <c r="A9" s="45" t="n"/>
      <c r="B9" s="46" t="n"/>
      <c r="C9" s="47" t="n"/>
      <c r="D9" s="48" t="inlineStr">
        <is>
          <t>Subtotals</t>
        </is>
      </c>
      <c r="E9" s="56">
        <f>SUM(E3:E8)</f>
        <v/>
      </c>
      <c r="F9" s="96">
        <f>SUM(F3:F8)</f>
        <v/>
      </c>
      <c r="G9" s="160">
        <f>F9/E9</f>
        <v/>
      </c>
      <c r="H9" s="73">
        <f>IF(G9&gt;=0.95,5,IF(G9&gt;=0.8,4,IF(G9&gt;=0.6,3,IF(G9&gt;=0.35,2,1))))</f>
        <v/>
      </c>
      <c r="I9" s="161">
        <f>(F9/E9)*33.25</f>
        <v/>
      </c>
      <c r="J9" s="29" t="inlineStr">
        <is>
          <t>Template Score</t>
        </is>
      </c>
    </row>
    <row r="10" ht="31" customHeight="1" s="149">
      <c r="A10" s="162" t="inlineStr">
        <is>
          <t>Student Loans (Calculations)</t>
        </is>
      </c>
      <c r="B10" s="163" t="n">
        <v>0.19</v>
      </c>
      <c r="C10" s="109" t="inlineStr">
        <is>
          <t>You have correctly input your interest rate from the Mortgage Rates tab. (1 point)</t>
        </is>
      </c>
      <c r="D10" s="74" t="n"/>
      <c r="E10" s="57" t="n">
        <v>1</v>
      </c>
      <c r="F10" s="97" t="n"/>
      <c r="G10" s="43" t="n"/>
      <c r="H10" s="75" t="n"/>
    </row>
    <row r="11" ht="69.65000000000001" customHeight="1" s="149">
      <c r="A11" s="156" t="n"/>
      <c r="B11" s="156" t="n"/>
      <c r="C11" s="110" t="inlineStr">
        <is>
          <t>For the Unsubsidized Loan, you have correctly entered the number of years interest accrues while in school (1 point), and your formulas for the additional interest and the new total principal for the loan are correct (2 points each).</t>
        </is>
      </c>
      <c r="D11" s="70" t="n"/>
      <c r="E11" s="54" t="n">
        <v>5</v>
      </c>
      <c r="F11" s="94" t="n"/>
      <c r="G11" s="33" t="n"/>
      <c r="H11" s="69" t="n"/>
    </row>
    <row r="12" ht="33.65" customHeight="1" s="149">
      <c r="A12" s="156" t="n"/>
      <c r="B12" s="156" t="n"/>
      <c r="C12" s="111" t="inlineStr">
        <is>
          <t>Your number of payments per year and number of years entries are correct (1 point each).</t>
        </is>
      </c>
      <c r="D12" s="70" t="n"/>
      <c r="E12" s="55" t="n">
        <v>2</v>
      </c>
      <c r="F12" s="95" t="n"/>
      <c r="G12" s="34" t="n"/>
      <c r="H12" s="69" t="n"/>
    </row>
    <row r="13" ht="67.15000000000001" customHeight="1" s="149">
      <c r="A13" s="156" t="n"/>
      <c r="B13" s="156" t="n"/>
      <c r="C13" s="111" t="inlineStr">
        <is>
          <t xml:space="preserve">For the Subsidized Loan, you have correctly calculated the Monthly Loan Payment (4 points), Total Paid (2 points), and Interest Paid (2 points).  For all entries, use the provided formulas. Do not use the Excel built-in =FV() or =PMT(). </t>
        </is>
      </c>
      <c r="D13" s="70" t="n"/>
      <c r="E13" s="55" t="n">
        <v>8</v>
      </c>
      <c r="F13" s="95" t="n"/>
      <c r="G13" s="34" t="n"/>
      <c r="H13" s="69" t="n"/>
    </row>
    <row r="14" ht="49.9" customHeight="1" s="149">
      <c r="A14" s="156" t="n"/>
      <c r="B14" s="156" t="n"/>
      <c r="C14" s="111" t="inlineStr">
        <is>
          <t>For the Unsubsidized Loan, you have correctly calculated the Monthly Loan Payment (4 points), Total Paid (2 points), and Interest Paid (2 points).</t>
        </is>
      </c>
      <c r="D14" s="70" t="n"/>
      <c r="E14" s="55" t="n">
        <v>8</v>
      </c>
      <c r="F14" s="95" t="n"/>
      <c r="G14" s="34" t="n"/>
      <c r="H14" s="69" t="n"/>
    </row>
    <row r="15" ht="31.5" customHeight="1" s="149" thickBot="1">
      <c r="A15" s="164" t="n"/>
      <c r="B15" s="158" t="n"/>
      <c r="C15" s="112" t="inlineStr">
        <is>
          <t>You have explicitly formatted all entries as directed in the instructions.</t>
        </is>
      </c>
      <c r="D15" s="71" t="n"/>
      <c r="E15" s="58" t="n">
        <v>3</v>
      </c>
      <c r="F15" s="98" t="n"/>
      <c r="G15" s="34" t="n"/>
      <c r="H15" s="69" t="n"/>
    </row>
    <row r="16" ht="16" customHeight="1" s="149" thickBot="1">
      <c r="A16" s="50" t="n"/>
      <c r="B16" s="51" t="n"/>
      <c r="C16" s="64" t="n"/>
      <c r="D16" s="48" t="inlineStr">
        <is>
          <t>Subtotals</t>
        </is>
      </c>
      <c r="E16" s="59">
        <f>SUM(E10:E15)</f>
        <v/>
      </c>
      <c r="F16" s="99">
        <f>SUM(F10:F15)</f>
        <v/>
      </c>
      <c r="G16" s="160">
        <f>F16/E16</f>
        <v/>
      </c>
      <c r="H16" s="73">
        <f>IF(G16&gt;=0.95,5,IF(G16&gt;=0.8,4,IF(G16&gt;=0.6,3,IF(G16&gt;=0.35,2,1))))</f>
        <v/>
      </c>
      <c r="I16" s="161">
        <f>(F16/E16)*33.25</f>
        <v/>
      </c>
      <c r="J16" s="29" t="inlineStr">
        <is>
          <t>Template Score</t>
        </is>
      </c>
    </row>
    <row r="17" ht="62" customHeight="1" s="149">
      <c r="A17" s="165" t="inlineStr">
        <is>
          <t>Credit Cards (Calculations)</t>
        </is>
      </c>
      <c r="B17" s="166" t="n">
        <v>0.19</v>
      </c>
      <c r="C17" s="87" t="inlineStr">
        <is>
          <t>You have correctly entered the APR, Starting Balance, Payments per Year, Percentage of the Current Balance, and Fixed Minimum entries based on the values provided in the description in cell A3 (1 point each).</t>
        </is>
      </c>
      <c r="D17" s="74" t="n"/>
      <c r="E17" s="57" t="n">
        <v>5</v>
      </c>
      <c r="F17" s="97" t="n"/>
      <c r="G17" s="43" t="n"/>
      <c r="H17" s="75" t="n"/>
    </row>
    <row r="18" ht="46.5" customHeight="1" s="149">
      <c r="A18" s="167" t="n"/>
      <c r="B18" s="167" t="n"/>
      <c r="C18" s="88" t="inlineStr">
        <is>
          <t>For your Current Balance, Payment, Balance After Payment, and Interest entries, you have provided Excel formulas with appropriate cell references for all inputs.</t>
        </is>
      </c>
      <c r="D18" s="70" t="n"/>
      <c r="E18" s="54" t="n">
        <v>24</v>
      </c>
      <c r="F18" s="94" t="n"/>
      <c r="G18" s="33" t="n"/>
      <c r="H18" s="69" t="n"/>
    </row>
    <row r="19" ht="47" customHeight="1" s="149" thickBot="1">
      <c r="A19" s="167" t="n"/>
      <c r="B19" s="167" t="n"/>
      <c r="C19" s="88" t="inlineStr">
        <is>
          <t>For the Number of Years to Pay Off, Total Amount Paid, and Total Interest Paid, you have provided Excel functions with appropriate cell references (3 points each).</t>
        </is>
      </c>
      <c r="D19" s="70" t="n"/>
      <c r="E19" s="54" t="n">
        <v>9</v>
      </c>
      <c r="F19" s="94" t="n"/>
      <c r="G19" s="33" t="n"/>
      <c r="H19" s="69" t="n"/>
    </row>
    <row r="20" ht="31.5" customHeight="1" s="149" thickBot="1">
      <c r="A20" s="168" t="n"/>
      <c r="B20" s="168" t="n"/>
      <c r="C20" s="89" t="inlineStr">
        <is>
          <t>You have explicitly formatted all entries as discussed in the instructions.</t>
        </is>
      </c>
      <c r="D20" s="71" t="n"/>
      <c r="E20" s="54" t="n">
        <v>4</v>
      </c>
      <c r="F20" s="100" t="n"/>
      <c r="G20" s="33" t="n"/>
      <c r="H20" s="69" t="n"/>
    </row>
    <row r="21" ht="16" customHeight="1" s="149" thickBot="1">
      <c r="A21" s="50" t="n"/>
      <c r="B21" s="60" t="n"/>
      <c r="C21" s="52" t="n"/>
      <c r="D21" s="77" t="inlineStr">
        <is>
          <t>Subtotals</t>
        </is>
      </c>
      <c r="E21" s="61">
        <f>SUM(E17:E20)</f>
        <v/>
      </c>
      <c r="F21" s="101">
        <f>SUM(F17:F20)</f>
        <v/>
      </c>
      <c r="G21" s="169">
        <f>F21/E21</f>
        <v/>
      </c>
      <c r="H21" s="73">
        <f>IF(G21&gt;=0.95,5,IF(G21&gt;=0.8,4,IF(G21&gt;=0.6,3,IF(G21&gt;=0.35,2,1))))</f>
        <v/>
      </c>
      <c r="I21" s="161">
        <f>(F21/E21)*33.25</f>
        <v/>
      </c>
      <c r="J21" s="29" t="inlineStr">
        <is>
          <t>Template Score</t>
        </is>
      </c>
    </row>
    <row r="22" ht="62" customHeight="1" s="149">
      <c r="A22" s="165" t="inlineStr">
        <is>
          <t>Annual Budget (Calculations)</t>
        </is>
      </c>
      <c r="B22" s="166" t="n">
        <v>0.19</v>
      </c>
      <c r="C22" s="90" t="inlineStr">
        <is>
          <t>For the Housing through Other rows, you have completed the Frequency Per Year entries (4 points) and Cost entries (4 points), and your Total Annual Cost entries (8 points) are Excel formulas using appropriate cell references.</t>
        </is>
      </c>
      <c r="D22" s="68" t="n"/>
      <c r="E22" s="82" t="n">
        <v>16</v>
      </c>
      <c r="F22" s="102" t="n"/>
      <c r="G22" s="83" t="n"/>
      <c r="H22" s="84" t="n"/>
    </row>
    <row r="23" ht="62" customHeight="1" s="149">
      <c r="A23" s="167" t="n"/>
      <c r="B23" s="167" t="n"/>
      <c r="C23" s="91" t="inlineStr">
        <is>
          <t>For the Subsidized Monthly Loan row, you have correctly entered the Frequency (1 point), brought forward the loan payment amount from the Student Loans worksheet using a cell reference (2 points), and provided an Excel formula for the Total Annual Cost entry (2 points).</t>
        </is>
      </c>
      <c r="D23" s="70" t="n"/>
      <c r="E23" s="54" t="n">
        <v>5</v>
      </c>
      <c r="F23" s="94" t="n"/>
      <c r="G23" s="33" t="n"/>
      <c r="H23" s="69" t="n"/>
    </row>
    <row r="24" ht="77.5" customHeight="1" s="149">
      <c r="A24" s="167" t="n"/>
      <c r="B24" s="167" t="n"/>
      <c r="C24" s="91" t="inlineStr">
        <is>
          <t>For the Credit Card Monthly Payment row, you have correctly entered the Frequency (1 point), brought forward the first credit card payment amount from the Credit Cards worksheet using an Excel formula (2 points), and provided an Excel formula for the Total Annual Cost entry (2 points).</t>
        </is>
      </c>
      <c r="D24" s="70" t="n"/>
      <c r="E24" s="54" t="n">
        <v>5</v>
      </c>
      <c r="F24" s="94" t="n"/>
      <c r="G24" s="33" t="n"/>
      <c r="H24" s="69" t="n"/>
    </row>
    <row r="25" ht="31" customHeight="1" s="149">
      <c r="A25" s="167" t="n"/>
      <c r="B25" s="167" t="n"/>
      <c r="C25" s="91" t="inlineStr">
        <is>
          <t>Your Total Annual Budget correctly adds up the costs for Housing through the Credit Card payment, using the Excel SUM() function.</t>
        </is>
      </c>
      <c r="D25" s="70" t="n"/>
      <c r="E25" s="54" t="n">
        <v>3</v>
      </c>
      <c r="F25" s="94" t="n"/>
      <c r="G25" s="33" t="n"/>
      <c r="H25" s="69" t="n"/>
    </row>
    <row r="26" ht="46.5" customHeight="1" s="149">
      <c r="A26" s="167" t="n"/>
      <c r="B26" s="167" t="n"/>
      <c r="C26" s="91" t="inlineStr">
        <is>
          <t>You have correctly calculated the Projected Total in 5 Years (3 points) and Remaining Total (2 points), using Excel formulas with appropriate cell references.</t>
        </is>
      </c>
      <c r="D26" s="70" t="n"/>
      <c r="E26" s="54" t="n">
        <v>5</v>
      </c>
      <c r="F26" s="94" t="n"/>
      <c r="G26" s="33" t="n"/>
      <c r="H26" s="69" t="n"/>
    </row>
    <row r="27" ht="47" customHeight="1" s="149" thickBot="1">
      <c r="A27" s="167" t="n"/>
      <c r="B27" s="167" t="n"/>
      <c r="C27" s="92" t="inlineStr">
        <is>
          <t>You have included a Pie Chart for your Total Annual Cost entries, using the Budget Category entries as a legend; updating the chart title; and adding percentage labels.</t>
        </is>
      </c>
      <c r="D27" s="76" t="n"/>
      <c r="E27" s="55" t="n">
        <v>6</v>
      </c>
      <c r="F27" s="95" t="n"/>
      <c r="G27" s="34" t="n"/>
      <c r="H27" s="69" t="n"/>
    </row>
    <row r="28" ht="31.5" customHeight="1" s="149" thickBot="1">
      <c r="A28" s="168" t="n"/>
      <c r="B28" s="168" t="n"/>
      <c r="C28" s="89" t="inlineStr">
        <is>
          <t xml:space="preserve">You have explicitly formatted your cells as directed in the instructions. </t>
        </is>
      </c>
      <c r="D28" s="85" t="n"/>
      <c r="E28" s="58" t="n">
        <v>4</v>
      </c>
      <c r="F28" s="103" t="n"/>
      <c r="G28" s="33" t="n"/>
      <c r="H28" s="86" t="n"/>
    </row>
    <row r="29" ht="16" customHeight="1" s="149" thickBot="1">
      <c r="A29" s="44" t="n"/>
      <c r="B29" s="63" t="n"/>
      <c r="C29" s="27" t="n"/>
      <c r="D29" s="78" t="inlineStr">
        <is>
          <t>Subtotals</t>
        </is>
      </c>
      <c r="E29" s="79">
        <f>SUM(E22:E28)</f>
        <v/>
      </c>
      <c r="F29" s="170">
        <f>SUM(F22:F28)</f>
        <v/>
      </c>
      <c r="G29" s="171">
        <f>F29/E29</f>
        <v/>
      </c>
      <c r="H29" s="81">
        <f>IF(G29&gt;=0.95,5,IF(G29&gt;=0.8,4,IF(G29&gt;=0.6,3,IF(G29&gt;=0.35,2,1))))</f>
        <v/>
      </c>
      <c r="I29" s="161">
        <f>(F29/E29)*33.25</f>
        <v/>
      </c>
      <c r="J29" s="29" t="inlineStr">
        <is>
          <t>Template Score</t>
        </is>
      </c>
    </row>
    <row r="30" ht="21" customHeight="1" s="149">
      <c r="H30" s="41" t="n"/>
      <c r="I30" s="172" t="n"/>
    </row>
    <row r="31" ht="16" customHeight="1" s="149" thickBot="1">
      <c r="I31" s="173">
        <f>I29+I21+I16+I9</f>
        <v/>
      </c>
      <c r="J31" s="29" t="inlineStr">
        <is>
          <t>Total</t>
        </is>
      </c>
    </row>
    <row r="32" ht="16" customHeight="1" s="149" thickBot="1">
      <c r="B32" s="20" t="n"/>
      <c r="C32" s="19" t="inlineStr">
        <is>
          <t>Rubric Category</t>
        </is>
      </c>
      <c r="D32" s="40" t="inlineStr">
        <is>
          <t>Rubric Score</t>
        </is>
      </c>
      <c r="E32" s="174" t="n"/>
      <c r="I32" s="173">
        <f>F48</f>
        <v/>
      </c>
      <c r="J32" s="29" t="inlineStr">
        <is>
          <t xml:space="preserve">Paper Score </t>
        </is>
      </c>
    </row>
    <row r="33" ht="16" customHeight="1" s="149" thickBot="1">
      <c r="B33" s="20" t="n"/>
      <c r="C33" s="37">
        <f>A3</f>
        <v/>
      </c>
      <c r="D33" s="23">
        <f>H9</f>
        <v/>
      </c>
      <c r="E33" s="174" t="n"/>
      <c r="I33" s="175">
        <f>I31+I32</f>
        <v/>
      </c>
      <c r="J33" s="29" t="inlineStr">
        <is>
          <t>Overall Total</t>
        </is>
      </c>
    </row>
    <row r="34" ht="16" customHeight="1" s="149" thickBot="1">
      <c r="B34" s="20" t="n"/>
      <c r="C34" s="37">
        <f>A10</f>
        <v/>
      </c>
      <c r="D34" s="23">
        <f>H16</f>
        <v/>
      </c>
      <c r="E34" s="174" t="n"/>
    </row>
    <row r="35" ht="16" customHeight="1" s="149" thickBot="1">
      <c r="B35" s="20" t="n"/>
      <c r="C35" s="37">
        <f>A17</f>
        <v/>
      </c>
      <c r="D35" s="23">
        <f>H21</f>
        <v/>
      </c>
      <c r="E35" s="174" t="n"/>
    </row>
    <row r="36" ht="16" customHeight="1" s="149" thickBot="1">
      <c r="B36" s="20" t="n"/>
      <c r="C36" s="38">
        <f>A22</f>
        <v/>
      </c>
      <c r="D36" s="24">
        <f>H29</f>
        <v/>
      </c>
      <c r="E36" s="174" t="n"/>
    </row>
    <row r="37" ht="21" customHeight="1" s="149">
      <c r="B37" s="20" t="n"/>
      <c r="C37" s="22" t="n"/>
      <c r="D37" s="35" t="n"/>
      <c r="E37" s="176" t="n"/>
    </row>
    <row r="38" ht="15.5" customHeight="1" s="149">
      <c r="B38" s="20" t="n"/>
    </row>
    <row r="39" ht="15.5" customHeight="1" s="149">
      <c r="A39" s="177" t="inlineStr">
        <is>
          <t>Written Paper</t>
        </is>
      </c>
      <c r="B39" s="20" t="n"/>
      <c r="E39" s="177" t="inlineStr">
        <is>
          <t>Possible Points</t>
        </is>
      </c>
      <c r="F39" s="177" t="inlineStr">
        <is>
          <t>Your Points</t>
        </is>
      </c>
      <c r="G39" s="177" t="inlineStr">
        <is>
          <t>Scoring comments</t>
        </is>
      </c>
    </row>
    <row r="40" ht="15.5" customHeight="1" s="149">
      <c r="B40" s="20" t="inlineStr">
        <is>
          <t>[Write-up] Project Heading</t>
        </is>
      </c>
      <c r="E40" s="0" t="n">
        <v>1.75</v>
      </c>
    </row>
    <row r="41" ht="15.5" customHeight="1" s="149">
      <c r="B41" s="20" t="inlineStr">
        <is>
          <t>[Write-up] Income and Projection</t>
        </is>
      </c>
      <c r="E41" s="0" t="n">
        <v>7</v>
      </c>
    </row>
    <row r="42" ht="15.5" customHeight="1" s="149">
      <c r="B42" s="20" t="inlineStr">
        <is>
          <t>[Write-up] Student Loans</t>
        </is>
      </c>
      <c r="E42" s="0" t="n">
        <v>7</v>
      </c>
    </row>
    <row r="43" ht="15.5" customHeight="1" s="149">
      <c r="B43" s="20" t="inlineStr">
        <is>
          <t>[Write-up] Credit Cards</t>
        </is>
      </c>
      <c r="E43" s="0" t="n">
        <v>7</v>
      </c>
    </row>
    <row r="44" ht="16" customHeight="1" s="149" thickBot="1">
      <c r="B44" s="20" t="inlineStr">
        <is>
          <t>[Write-up] Annual Budget</t>
        </is>
      </c>
      <c r="E44" s="0" t="n">
        <v>7</v>
      </c>
    </row>
    <row r="45" ht="16" customHeight="1" s="149" thickBot="1">
      <c r="B45" s="21" t="inlineStr">
        <is>
          <t>[Write-up] Ethics and Christian Worldview Analysis</t>
        </is>
      </c>
      <c r="E45" s="0" t="n">
        <v>3.5</v>
      </c>
    </row>
    <row r="46" ht="15.5" customHeight="1" s="149">
      <c r="B46" s="0" t="inlineStr">
        <is>
          <t>[Write-up] Summary and Reflections</t>
        </is>
      </c>
      <c r="E46" s="0" t="n">
        <v>5.25</v>
      </c>
    </row>
    <row r="47" ht="15.5" customHeight="1" s="149">
      <c r="B47" s="0" t="inlineStr">
        <is>
          <t>[Write-up] References</t>
        </is>
      </c>
      <c r="E47" s="0" t="n">
        <v>3.5</v>
      </c>
    </row>
    <row r="48" ht="15.5" customHeight="1" s="149">
      <c r="D48" s="177" t="inlineStr">
        <is>
          <t>Written Paper Subtotal</t>
        </is>
      </c>
      <c r="E48" s="0">
        <f>SUM(E40:E47)</f>
        <v/>
      </c>
      <c r="F48" s="0">
        <f>SUM(F40:F47)</f>
        <v/>
      </c>
    </row>
    <row r="49" ht="15.5" customHeight="1" s="149"/>
    <row r="50" ht="15.5" customHeight="1" s="149">
      <c r="D50" s="177" t="n"/>
      <c r="E50" s="0" t="n"/>
      <c r="F50" s="0" t="n"/>
    </row>
    <row r="51" ht="15.5" customHeight="1" s="149"/>
    <row r="52" ht="15.5" customHeight="1" s="149"/>
    <row r="53" ht="15.5" customHeight="1" s="149"/>
    <row r="54" ht="15.5" customHeight="1" s="149"/>
    <row r="55" ht="15.5" customHeight="1" s="149"/>
    <row r="56" ht="15.5" customHeight="1" s="149"/>
    <row r="57" ht="15.5" customHeight="1" s="149"/>
    <row r="58" ht="15.5" customHeight="1" s="149"/>
    <row r="59" ht="15.5" customHeight="1" s="149"/>
    <row r="60" ht="15.5" customHeight="1" s="149"/>
    <row r="61" ht="15.5" customHeight="1" s="149"/>
    <row r="62" ht="15.5" customHeight="1" s="149"/>
    <row r="63" ht="15.5" customHeight="1" s="149"/>
    <row r="64" ht="15.5" customHeight="1" s="149"/>
    <row r="65" ht="15.5" customHeight="1" s="149"/>
    <row r="66" ht="15.5" customHeight="1" s="149"/>
    <row r="67" ht="15.5" customHeight="1" s="149"/>
    <row r="68" ht="15.5" customHeight="1" s="149"/>
    <row r="69" ht="15.5" customHeight="1" s="149"/>
    <row r="70" ht="15.5" customHeight="1" s="149"/>
    <row r="71" ht="15.5" customHeight="1" s="149"/>
    <row r="72" ht="15.5" customHeight="1" s="149"/>
    <row r="73" ht="15.5" customHeight="1" s="149"/>
    <row r="74" ht="15.5" customHeight="1" s="149"/>
    <row r="75" ht="15.5" customHeight="1" s="149"/>
    <row r="76" ht="15.5" customHeight="1" s="149"/>
    <row r="77" ht="15.5" customHeight="1" s="149"/>
    <row r="78" ht="15.5" customHeight="1" s="149"/>
    <row r="79" ht="15.5" customHeight="1" s="149"/>
    <row r="80" ht="15.5" customHeight="1" s="149"/>
    <row r="81" ht="15.5" customHeight="1" s="149"/>
    <row r="82" ht="15.5" customHeight="1" s="149"/>
    <row r="83" ht="15.5" customHeight="1" s="149"/>
    <row r="84" ht="15.5" customHeight="1" s="149"/>
    <row r="85" ht="15.5" customHeight="1" s="149"/>
    <row r="86" ht="15.5" customHeight="1" s="149"/>
    <row r="87" ht="15.5" customHeight="1" s="149"/>
    <row r="88" ht="15.5" customHeight="1" s="149"/>
    <row r="89" ht="15.5" customHeight="1" s="149"/>
    <row r="90" ht="15.5" customHeight="1" s="149"/>
    <row r="91" ht="15.5" customHeight="1" s="149"/>
    <row r="92" ht="15.5" customHeight="1" s="149"/>
    <row r="93" ht="15.5" customHeight="1" s="149"/>
    <row r="94" ht="15.5" customHeight="1" s="149"/>
    <row r="95" ht="15.5" customHeight="1" s="149"/>
    <row r="96" ht="15.5" customHeight="1" s="149"/>
    <row r="97" ht="15.5" customHeight="1" s="149"/>
    <row r="98" ht="15.5" customHeight="1" s="149"/>
    <row r="99" ht="15.5" customHeight="1" s="149"/>
    <row r="100" ht="15.5" customHeight="1" s="149"/>
    <row r="101" ht="15.5" customHeight="1" s="149"/>
    <row r="102" ht="15.5" customHeight="1" s="149"/>
    <row r="103" ht="15.5" customHeight="1" s="149"/>
    <row r="104" ht="15.5" customHeight="1" s="149"/>
    <row r="105" ht="15.5" customHeight="1" s="149"/>
    <row r="106" ht="15.5" customHeight="1" s="149"/>
    <row r="107" ht="15.5" customHeight="1" s="149"/>
    <row r="108" ht="15.5" customHeight="1" s="149"/>
    <row r="109" ht="15.5" customHeight="1" s="149"/>
    <row r="110" ht="15.5" customHeight="1" s="149"/>
    <row r="111" ht="15.5" customHeight="1" s="149"/>
    <row r="112" ht="15.5" customHeight="1" s="149"/>
    <row r="113" ht="15.5" customHeight="1" s="149"/>
    <row r="114" ht="15.5" customHeight="1" s="149"/>
    <row r="115" ht="15.5" customHeight="1" s="149"/>
    <row r="116" ht="15.5" customHeight="1" s="149"/>
    <row r="117" ht="15.5" customHeight="1" s="149"/>
    <row r="118" ht="15.5" customHeight="1" s="149"/>
    <row r="119" ht="15.5" customHeight="1" s="149"/>
    <row r="120" ht="15.5" customHeight="1" s="149"/>
    <row r="121" ht="15.5" customHeight="1" s="149"/>
    <row r="122" ht="15.5" customHeight="1" s="149"/>
    <row r="123" ht="15.5" customHeight="1" s="149"/>
  </sheetData>
  <mergeCells count="9">
    <mergeCell ref="A22:A28"/>
    <mergeCell ref="B17:B20"/>
    <mergeCell ref="B3:B8"/>
    <mergeCell ref="B22:B28"/>
    <mergeCell ref="A3:A8"/>
    <mergeCell ref="A17:A20"/>
    <mergeCell ref="A10:A15"/>
    <mergeCell ref="B10:B15"/>
    <mergeCell ref="A1:B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W33"/>
  <sheetViews>
    <sheetView workbookViewId="0">
      <selection activeCell="B6" sqref="B6:B10"/>
    </sheetView>
  </sheetViews>
  <sheetFormatPr baseColWidth="8" defaultColWidth="8.83203125" defaultRowHeight="15.5"/>
  <cols>
    <col width="9.83203125" bestFit="1" customWidth="1" style="149" min="6" max="6"/>
  </cols>
  <sheetData>
    <row r="1">
      <c r="G1" s="2" t="n"/>
      <c r="H1" s="3" t="n">
        <v>1</v>
      </c>
      <c r="I1" s="3" t="n">
        <v>2</v>
      </c>
      <c r="J1" s="3" t="n">
        <v>3</v>
      </c>
      <c r="K1" s="3" t="n">
        <v>4</v>
      </c>
      <c r="L1" s="3" t="n">
        <v>5</v>
      </c>
      <c r="M1" s="3" t="n">
        <v>6</v>
      </c>
      <c r="N1" s="3" t="n">
        <v>7</v>
      </c>
      <c r="O1" s="3" t="n">
        <v>8</v>
      </c>
      <c r="P1" s="3" t="n">
        <v>9</v>
      </c>
      <c r="Q1" s="3" t="n">
        <v>10</v>
      </c>
      <c r="R1" s="3" t="n">
        <v>11</v>
      </c>
      <c r="S1" s="3" t="n">
        <v>12</v>
      </c>
      <c r="T1" s="3" t="n">
        <v>13</v>
      </c>
      <c r="U1" s="3" t="n">
        <v>14</v>
      </c>
      <c r="V1" s="3" t="n">
        <v>15</v>
      </c>
      <c r="W1" s="4" t="n">
        <v>16</v>
      </c>
    </row>
    <row r="2">
      <c r="G2" s="5" t="n">
        <v>1</v>
      </c>
      <c r="H2" s="6" t="n">
        <v>2</v>
      </c>
      <c r="I2" s="6" t="n">
        <v>3</v>
      </c>
      <c r="J2" s="6" t="n">
        <v>5</v>
      </c>
      <c r="K2" s="6" t="n">
        <v>7</v>
      </c>
      <c r="L2" s="6" t="n">
        <v>11</v>
      </c>
      <c r="M2" s="6" t="n">
        <v>13</v>
      </c>
      <c r="N2" s="6" t="n">
        <v>17</v>
      </c>
      <c r="O2" s="6" t="n">
        <v>19</v>
      </c>
      <c r="P2" s="6" t="n">
        <v>23</v>
      </c>
      <c r="Q2" s="6" t="n">
        <v>29</v>
      </c>
      <c r="R2" s="6" t="n">
        <v>947</v>
      </c>
      <c r="S2" s="6" t="n">
        <v>953</v>
      </c>
      <c r="T2" s="6" t="n">
        <v>967</v>
      </c>
      <c r="U2" s="6" t="n">
        <v>971</v>
      </c>
      <c r="V2" s="6" t="n">
        <v>977</v>
      </c>
      <c r="W2" s="7" t="n">
        <v>983</v>
      </c>
    </row>
    <row r="3">
      <c r="G3" s="5" t="n">
        <v>2</v>
      </c>
      <c r="H3" s="6" t="n">
        <v>31</v>
      </c>
      <c r="I3" s="6" t="n">
        <v>37</v>
      </c>
      <c r="J3" s="6" t="n">
        <v>41</v>
      </c>
      <c r="K3" s="6" t="n">
        <v>43</v>
      </c>
      <c r="L3" s="6" t="n">
        <v>47</v>
      </c>
      <c r="M3" s="6" t="n">
        <v>53</v>
      </c>
      <c r="N3" s="6" t="n">
        <v>59</v>
      </c>
      <c r="O3" s="6" t="n">
        <v>61</v>
      </c>
      <c r="P3" s="6" t="n">
        <v>67</v>
      </c>
      <c r="Q3" s="6" t="n">
        <v>71</v>
      </c>
      <c r="R3" s="6" t="n">
        <v>991</v>
      </c>
      <c r="S3" s="6" t="n">
        <v>997</v>
      </c>
      <c r="T3" s="6" t="n">
        <v>1009</v>
      </c>
      <c r="U3" s="6" t="n">
        <v>1013</v>
      </c>
      <c r="V3" s="6" t="n">
        <v>1019</v>
      </c>
      <c r="W3" s="7" t="n">
        <v>1021</v>
      </c>
    </row>
    <row r="4">
      <c r="G4" s="5" t="n">
        <v>3</v>
      </c>
      <c r="H4" s="6" t="n">
        <v>73</v>
      </c>
      <c r="I4" s="6" t="n">
        <v>79</v>
      </c>
      <c r="J4" s="6" t="n">
        <v>83</v>
      </c>
      <c r="K4" s="6" t="n">
        <v>89</v>
      </c>
      <c r="L4" s="6" t="n">
        <v>97</v>
      </c>
      <c r="M4" s="6" t="n">
        <v>101</v>
      </c>
      <c r="N4" s="6" t="n">
        <v>103</v>
      </c>
      <c r="O4" s="6" t="n">
        <v>107</v>
      </c>
      <c r="P4" s="6" t="n">
        <v>109</v>
      </c>
      <c r="Q4" s="6" t="n">
        <v>113</v>
      </c>
      <c r="R4" s="6" t="n">
        <v>1031</v>
      </c>
      <c r="S4" s="6" t="n">
        <v>1033</v>
      </c>
      <c r="T4" s="6" t="n">
        <v>1039</v>
      </c>
      <c r="U4" s="6" t="n">
        <v>1049</v>
      </c>
      <c r="V4" s="6" t="n">
        <v>1051</v>
      </c>
      <c r="W4" s="7" t="n">
        <v>1061</v>
      </c>
    </row>
    <row r="5" ht="16" customHeight="1" s="149" thickBot="1">
      <c r="G5" s="5" t="n">
        <v>4</v>
      </c>
      <c r="H5" s="6" t="n">
        <v>127</v>
      </c>
      <c r="I5" s="6" t="n">
        <v>131</v>
      </c>
      <c r="J5" s="6" t="n">
        <v>137</v>
      </c>
      <c r="K5" s="6" t="n">
        <v>139</v>
      </c>
      <c r="L5" s="6" t="n">
        <v>149</v>
      </c>
      <c r="M5" s="6" t="n">
        <v>151</v>
      </c>
      <c r="N5" s="6" t="n">
        <v>157</v>
      </c>
      <c r="O5" s="6" t="n">
        <v>163</v>
      </c>
      <c r="P5" s="6" t="n">
        <v>167</v>
      </c>
      <c r="Q5" s="6" t="n">
        <v>173</v>
      </c>
      <c r="R5" s="6" t="n">
        <v>1993</v>
      </c>
      <c r="S5" s="6" t="n">
        <v>1997</v>
      </c>
      <c r="T5" s="6" t="n">
        <v>1999</v>
      </c>
      <c r="U5" s="6" t="n">
        <v>2003</v>
      </c>
      <c r="V5" s="6" t="n">
        <v>2011</v>
      </c>
      <c r="W5" s="7" t="n">
        <v>2017</v>
      </c>
    </row>
    <row r="6" ht="16" customHeight="1" s="149" thickBot="1">
      <c r="A6" s="0" t="n">
        <v>1</v>
      </c>
      <c r="B6" s="12">
        <f>CODE(MID(#REF!,A6,1))</f>
        <v/>
      </c>
      <c r="C6" s="13">
        <f>MOD(B6,16)</f>
        <v/>
      </c>
      <c r="D6" s="13">
        <f>MOD((B6-C6)/16,16)</f>
        <v/>
      </c>
      <c r="E6" s="14">
        <f>INDIRECT("R"&amp;(C6+1)&amp;"C"&amp;(D6+7),0)</f>
        <v/>
      </c>
      <c r="G6" s="5" t="n">
        <v>5</v>
      </c>
      <c r="H6" s="6" t="n">
        <v>179</v>
      </c>
      <c r="I6" s="6" t="n">
        <v>181</v>
      </c>
      <c r="J6" s="6" t="n">
        <v>191</v>
      </c>
      <c r="K6" s="6" t="n">
        <v>193</v>
      </c>
      <c r="L6" s="6" t="n">
        <v>197</v>
      </c>
      <c r="M6" s="6" t="n">
        <v>199</v>
      </c>
      <c r="N6" s="6" t="n">
        <v>211</v>
      </c>
      <c r="O6" s="6" t="n">
        <v>223</v>
      </c>
      <c r="P6" s="6" t="n">
        <v>227</v>
      </c>
      <c r="Q6" s="6" t="n">
        <v>229</v>
      </c>
      <c r="R6" s="6" t="n">
        <v>2063</v>
      </c>
      <c r="S6" s="6" t="n">
        <v>2069</v>
      </c>
      <c r="T6" s="6" t="n">
        <v>2081</v>
      </c>
      <c r="U6" s="6" t="n">
        <v>2083</v>
      </c>
      <c r="V6" s="6" t="n">
        <v>2087</v>
      </c>
      <c r="W6" s="7" t="n">
        <v>2089</v>
      </c>
    </row>
    <row r="7" ht="16" customHeight="1" s="149" thickBot="1">
      <c r="A7" s="0" t="n">
        <v>2</v>
      </c>
      <c r="B7" s="12">
        <f>CODE(MID(#REF!,A7,1))</f>
        <v/>
      </c>
      <c r="C7" s="15">
        <f>MOD(B7,16)</f>
        <v/>
      </c>
      <c r="D7" s="15">
        <f>MOD((B7-C7)/16,16)</f>
        <v/>
      </c>
      <c r="E7" s="16">
        <f>INDIRECT("R"&amp;(C7+1)&amp;"C"&amp;(D7+7),0)</f>
        <v/>
      </c>
      <c r="G7" s="5" t="n">
        <v>6</v>
      </c>
      <c r="H7" s="6" t="n">
        <v>233</v>
      </c>
      <c r="I7" s="6" t="n">
        <v>239</v>
      </c>
      <c r="J7" s="6" t="n">
        <v>241</v>
      </c>
      <c r="K7" s="6" t="n">
        <v>251</v>
      </c>
      <c r="L7" s="6" t="n">
        <v>257</v>
      </c>
      <c r="M7" s="6" t="n">
        <v>263</v>
      </c>
      <c r="N7" s="6" t="n">
        <v>269</v>
      </c>
      <c r="O7" s="6" t="n">
        <v>271</v>
      </c>
      <c r="P7" s="6" t="n">
        <v>277</v>
      </c>
      <c r="Q7" s="6" t="n">
        <v>281</v>
      </c>
      <c r="R7" s="6" t="n">
        <v>2131</v>
      </c>
      <c r="S7" s="6" t="n">
        <v>2137</v>
      </c>
      <c r="T7" s="6" t="n">
        <v>2141</v>
      </c>
      <c r="U7" s="6" t="n">
        <v>2143</v>
      </c>
      <c r="V7" s="6" t="n">
        <v>2153</v>
      </c>
      <c r="W7" s="7" t="n">
        <v>2161</v>
      </c>
    </row>
    <row r="8" ht="16" customHeight="1" s="149" thickBot="1">
      <c r="A8" s="0" t="n">
        <v>3</v>
      </c>
      <c r="B8" s="12">
        <f>CODE(MID(#REF!,A8,1))</f>
        <v/>
      </c>
      <c r="C8" s="15">
        <f>MOD(B8,16)</f>
        <v/>
      </c>
      <c r="D8" s="15">
        <f>MOD((B8-C8)/16,16)</f>
        <v/>
      </c>
      <c r="E8" s="16">
        <f>INDIRECT("R"&amp;(C8+1)&amp;"C"&amp;(D8+7),0)</f>
        <v/>
      </c>
      <c r="G8" s="5" t="n">
        <v>7</v>
      </c>
      <c r="H8" s="6" t="n">
        <v>283</v>
      </c>
      <c r="I8" s="6" t="n">
        <v>293</v>
      </c>
      <c r="J8" s="6" t="n">
        <v>307</v>
      </c>
      <c r="K8" s="6" t="n">
        <v>311</v>
      </c>
      <c r="L8" s="6" t="n">
        <v>313</v>
      </c>
      <c r="M8" s="6" t="n">
        <v>317</v>
      </c>
      <c r="N8" s="6" t="n">
        <v>331</v>
      </c>
      <c r="O8" s="6" t="n">
        <v>337</v>
      </c>
      <c r="P8" s="6" t="n">
        <v>347</v>
      </c>
      <c r="Q8" s="6" t="n">
        <v>349</v>
      </c>
      <c r="R8" s="6" t="n">
        <v>2221</v>
      </c>
      <c r="S8" s="6" t="n">
        <v>2237</v>
      </c>
      <c r="T8" s="6" t="n">
        <v>2239</v>
      </c>
      <c r="U8" s="6" t="n">
        <v>2243</v>
      </c>
      <c r="V8" s="6" t="n">
        <v>2251</v>
      </c>
      <c r="W8" s="7" t="n">
        <v>2267</v>
      </c>
    </row>
    <row r="9" ht="16" customHeight="1" s="149" thickBot="1">
      <c r="A9" s="0" t="n">
        <v>4</v>
      </c>
      <c r="B9" s="12">
        <f>CODE(MID(#REF!,A9,1))</f>
        <v/>
      </c>
      <c r="C9" s="15">
        <f>MOD(B9,16)</f>
        <v/>
      </c>
      <c r="D9" s="15">
        <f>MOD((B9-C9)/16,16)</f>
        <v/>
      </c>
      <c r="E9" s="16">
        <f>INDIRECT("R"&amp;(C9+1)&amp;"C"&amp;(D9+7),0)</f>
        <v/>
      </c>
      <c r="G9" s="5" t="n">
        <v>8</v>
      </c>
      <c r="H9" s="6" t="n">
        <v>353</v>
      </c>
      <c r="I9" s="6" t="n">
        <v>359</v>
      </c>
      <c r="J9" s="6" t="n">
        <v>367</v>
      </c>
      <c r="K9" s="6" t="n">
        <v>373</v>
      </c>
      <c r="L9" s="6" t="n">
        <v>379</v>
      </c>
      <c r="M9" s="6" t="n">
        <v>383</v>
      </c>
      <c r="N9" s="6" t="n">
        <v>389</v>
      </c>
      <c r="O9" s="6" t="n">
        <v>397</v>
      </c>
      <c r="P9" s="6" t="n">
        <v>401</v>
      </c>
      <c r="Q9" s="6" t="n">
        <v>409</v>
      </c>
      <c r="R9" s="6" t="n">
        <v>2293</v>
      </c>
      <c r="S9" s="6" t="n">
        <v>2297</v>
      </c>
      <c r="T9" s="6" t="n">
        <v>2309</v>
      </c>
      <c r="U9" s="6" t="n">
        <v>2311</v>
      </c>
      <c r="V9" s="6" t="n">
        <v>2333</v>
      </c>
      <c r="W9" s="7" t="n">
        <v>2339</v>
      </c>
    </row>
    <row r="10" ht="16" customHeight="1" s="149" thickBot="1">
      <c r="A10" s="0" t="n">
        <v>5</v>
      </c>
      <c r="B10" s="12">
        <f>CODE(MID(#REF!,A10,1))</f>
        <v/>
      </c>
      <c r="C10" s="17">
        <f>MOD(B10,16)</f>
        <v/>
      </c>
      <c r="D10" s="17">
        <f>MOD((B10-C10)/16,16)</f>
        <v/>
      </c>
      <c r="E10" s="18">
        <f>INDIRECT("R"&amp;(C10+1)&amp;"C"&amp;(D10+7),0)</f>
        <v/>
      </c>
      <c r="G10" s="5" t="n">
        <v>9</v>
      </c>
      <c r="H10" s="6" t="n">
        <v>419</v>
      </c>
      <c r="I10" s="6" t="n">
        <v>421</v>
      </c>
      <c r="J10" s="6" t="n">
        <v>431</v>
      </c>
      <c r="K10" s="6" t="n">
        <v>433</v>
      </c>
      <c r="L10" s="6" t="n">
        <v>439</v>
      </c>
      <c r="M10" s="6" t="n">
        <v>443</v>
      </c>
      <c r="N10" s="6" t="n">
        <v>449</v>
      </c>
      <c r="O10" s="6" t="n">
        <v>457</v>
      </c>
      <c r="P10" s="6" t="n">
        <v>461</v>
      </c>
      <c r="Q10" s="6" t="n">
        <v>463</v>
      </c>
      <c r="R10" s="6" t="n">
        <v>2371</v>
      </c>
      <c r="S10" s="6" t="n">
        <v>2377</v>
      </c>
      <c r="T10" s="6" t="n">
        <v>2381</v>
      </c>
      <c r="U10" s="6" t="n">
        <v>2383</v>
      </c>
      <c r="V10" s="6" t="n">
        <v>2389</v>
      </c>
      <c r="W10" s="7" t="n">
        <v>2393</v>
      </c>
    </row>
    <row r="11" ht="16" customHeight="1" s="149" thickBot="1">
      <c r="A11" s="0" t="inlineStr">
        <is>
          <t>Seed</t>
        </is>
      </c>
      <c r="B11" s="10">
        <f>MOD(PRODUCT(E6:E10),F13)</f>
        <v/>
      </c>
      <c r="F11" s="0" t="n">
        <v>1103515245</v>
      </c>
      <c r="G11" s="5" t="n">
        <v>10</v>
      </c>
      <c r="H11" s="6" t="n">
        <v>467</v>
      </c>
      <c r="I11" s="6" t="n">
        <v>479</v>
      </c>
      <c r="J11" s="6" t="n">
        <v>487</v>
      </c>
      <c r="K11" s="6" t="n">
        <v>491</v>
      </c>
      <c r="L11" s="6" t="n">
        <v>499</v>
      </c>
      <c r="M11" s="6" t="n">
        <v>503</v>
      </c>
      <c r="N11" s="6" t="n">
        <v>509</v>
      </c>
      <c r="O11" s="6" t="n">
        <v>521</v>
      </c>
      <c r="P11" s="6" t="n">
        <v>523</v>
      </c>
      <c r="Q11" s="6" t="n">
        <v>541</v>
      </c>
      <c r="R11" s="6" t="n">
        <v>2437</v>
      </c>
      <c r="S11" s="6" t="n">
        <v>2441</v>
      </c>
      <c r="T11" s="6" t="n">
        <v>2447</v>
      </c>
      <c r="U11" s="6" t="n">
        <v>2459</v>
      </c>
      <c r="V11" s="6" t="n">
        <v>2467</v>
      </c>
      <c r="W11" s="7" t="n">
        <v>2473</v>
      </c>
    </row>
    <row r="12">
      <c r="A12" s="0" t="inlineStr">
        <is>
          <t>Rand1</t>
        </is>
      </c>
      <c r="B12" s="0">
        <f>MOD(B11*F11+F12,F13)</f>
        <v/>
      </c>
      <c r="C12" s="0">
        <f>MOD(B12,2)</f>
        <v/>
      </c>
      <c r="D12" s="0">
        <f>B12/F$13</f>
        <v/>
      </c>
      <c r="E12" s="0">
        <f>IF(D12&lt;0.25,0,IF(D12&lt;0.5,1,IF(D12&lt;0.75,3,4)))</f>
        <v/>
      </c>
      <c r="F12" s="0" t="n">
        <v>12345</v>
      </c>
      <c r="G12" s="5" t="n">
        <v>11</v>
      </c>
      <c r="H12" s="6" t="n">
        <v>547</v>
      </c>
      <c r="I12" s="6" t="n">
        <v>557</v>
      </c>
      <c r="J12" s="6" t="n">
        <v>563</v>
      </c>
      <c r="K12" s="6" t="n">
        <v>569</v>
      </c>
      <c r="L12" s="6" t="n">
        <v>571</v>
      </c>
      <c r="M12" s="6" t="n">
        <v>577</v>
      </c>
      <c r="N12" s="6" t="n">
        <v>587</v>
      </c>
      <c r="O12" s="6" t="n">
        <v>593</v>
      </c>
      <c r="P12" s="6" t="n">
        <v>599</v>
      </c>
      <c r="Q12" s="6" t="n">
        <v>601</v>
      </c>
      <c r="R12" s="6" t="n">
        <v>2539</v>
      </c>
      <c r="S12" s="6" t="n">
        <v>2543</v>
      </c>
      <c r="T12" s="6" t="n">
        <v>2549</v>
      </c>
      <c r="U12" s="6" t="n">
        <v>2551</v>
      </c>
      <c r="V12" s="6" t="n">
        <v>2557</v>
      </c>
      <c r="W12" s="7" t="n">
        <v>2579</v>
      </c>
    </row>
    <row r="13">
      <c r="A13" s="0" t="inlineStr">
        <is>
          <t>Rand2</t>
        </is>
      </c>
      <c r="B13" s="1">
        <f>MOD(B12*F$11+F$12,F$13)</f>
        <v/>
      </c>
      <c r="C13" s="0">
        <f>IF(D13&lt;0.5,0,1)</f>
        <v/>
      </c>
      <c r="D13" s="0">
        <f>B13/F$13</f>
        <v/>
      </c>
      <c r="E13" s="0">
        <f>IF(D13&lt;0.25,0,IF(D13&lt;0.5,1,IF(D13&lt;0.75,3,4)))</f>
        <v/>
      </c>
      <c r="F13" s="0" t="n">
        <v>32768</v>
      </c>
      <c r="G13" s="5" t="n">
        <v>12</v>
      </c>
      <c r="H13" s="6" t="n">
        <v>607</v>
      </c>
      <c r="I13" s="6" t="n">
        <v>613</v>
      </c>
      <c r="J13" s="6" t="n">
        <v>617</v>
      </c>
      <c r="K13" s="6" t="n">
        <v>619</v>
      </c>
      <c r="L13" s="6" t="n">
        <v>631</v>
      </c>
      <c r="M13" s="6" t="n">
        <v>641</v>
      </c>
      <c r="N13" s="6" t="n">
        <v>643</v>
      </c>
      <c r="O13" s="6" t="n">
        <v>647</v>
      </c>
      <c r="P13" s="6" t="n">
        <v>653</v>
      </c>
      <c r="Q13" s="6" t="n">
        <v>659</v>
      </c>
      <c r="R13" s="6" t="n">
        <v>2621</v>
      </c>
      <c r="S13" s="6" t="n">
        <v>2633</v>
      </c>
      <c r="T13" s="6" t="n">
        <v>2647</v>
      </c>
      <c r="U13" s="6" t="n">
        <v>2657</v>
      </c>
      <c r="V13" s="6" t="n">
        <v>2659</v>
      </c>
      <c r="W13" s="7" t="n">
        <v>2663</v>
      </c>
    </row>
    <row r="14">
      <c r="A14" s="0" t="inlineStr">
        <is>
          <t>Rand3</t>
        </is>
      </c>
      <c r="B14" s="1">
        <f>MOD(B13*F$11+F$12,F$13)</f>
        <v/>
      </c>
      <c r="C14" s="0">
        <f>IF(D14&lt;0.5,0,1)</f>
        <v/>
      </c>
      <c r="D14" s="0">
        <f>B14/F$13</f>
        <v/>
      </c>
      <c r="E14" s="0">
        <f>IF(D14&lt;0.25,0,IF(D14&lt;0.5,1,IF(D14&lt;0.75,3,4)))</f>
        <v/>
      </c>
      <c r="G14" s="5" t="n">
        <v>13</v>
      </c>
      <c r="H14" s="6" t="n">
        <v>661</v>
      </c>
      <c r="I14" s="6" t="n">
        <v>673</v>
      </c>
      <c r="J14" s="6" t="n">
        <v>677</v>
      </c>
      <c r="K14" s="6" t="n">
        <v>683</v>
      </c>
      <c r="L14" s="6" t="n">
        <v>691</v>
      </c>
      <c r="M14" s="6" t="n">
        <v>701</v>
      </c>
      <c r="N14" s="6" t="n">
        <v>709</v>
      </c>
      <c r="O14" s="6" t="n">
        <v>719</v>
      </c>
      <c r="P14" s="6" t="n">
        <v>727</v>
      </c>
      <c r="Q14" s="6" t="n">
        <v>733</v>
      </c>
      <c r="R14" s="6" t="n">
        <v>2689</v>
      </c>
      <c r="S14" s="6" t="n">
        <v>2693</v>
      </c>
      <c r="T14" s="6" t="n">
        <v>2699</v>
      </c>
      <c r="U14" s="6" t="n">
        <v>2707</v>
      </c>
      <c r="V14" s="6" t="n">
        <v>2711</v>
      </c>
      <c r="W14" s="7" t="n">
        <v>2713</v>
      </c>
    </row>
    <row r="15">
      <c r="A15" s="0" t="inlineStr">
        <is>
          <t>Rand4</t>
        </is>
      </c>
      <c r="B15" s="1">
        <f>MOD(B14*F$11+F$12,F$13)</f>
        <v/>
      </c>
      <c r="C15" s="0">
        <f>IF(D15&lt;0.5,0,1)</f>
        <v/>
      </c>
      <c r="D15" s="0">
        <f>B15/F$13</f>
        <v/>
      </c>
      <c r="E15" s="0">
        <f>IF(D15&lt;0.25,0,IF(D15&lt;0.5,1,IF(D15&lt;0.75,3,4)))</f>
        <v/>
      </c>
      <c r="G15" s="5" t="n">
        <v>14</v>
      </c>
      <c r="H15" s="6" t="n">
        <v>739</v>
      </c>
      <c r="I15" s="6" t="n">
        <v>743</v>
      </c>
      <c r="J15" s="6" t="n">
        <v>751</v>
      </c>
      <c r="K15" s="6" t="n">
        <v>757</v>
      </c>
      <c r="L15" s="6" t="n">
        <v>761</v>
      </c>
      <c r="M15" s="6" t="n">
        <v>769</v>
      </c>
      <c r="N15" s="6" t="n">
        <v>773</v>
      </c>
      <c r="O15" s="6" t="n">
        <v>787</v>
      </c>
      <c r="P15" s="6" t="n">
        <v>797</v>
      </c>
      <c r="Q15" s="6" t="n">
        <v>809</v>
      </c>
      <c r="R15" s="6" t="n">
        <v>2749</v>
      </c>
      <c r="S15" s="6" t="n">
        <v>2753</v>
      </c>
      <c r="T15" s="6" t="n">
        <v>2767</v>
      </c>
      <c r="U15" s="6" t="n">
        <v>2777</v>
      </c>
      <c r="V15" s="6" t="n">
        <v>2789</v>
      </c>
      <c r="W15" s="7" t="n">
        <v>2791</v>
      </c>
    </row>
    <row r="16">
      <c r="A16" s="0" t="inlineStr">
        <is>
          <t>Rand5</t>
        </is>
      </c>
      <c r="B16" s="1">
        <f>MOD(B15*F$11+F$12,F$13)</f>
        <v/>
      </c>
      <c r="C16" s="0">
        <f>IF(D16&lt;0.5,0,1)</f>
        <v/>
      </c>
      <c r="D16" s="0">
        <f>B16/F$13</f>
        <v/>
      </c>
      <c r="E16" s="0">
        <f>IF(D16&lt;0.25,0,IF(D16&lt;0.5,1,IF(D16&lt;0.75,3,4)))</f>
        <v/>
      </c>
      <c r="G16" s="5" t="n">
        <v>15</v>
      </c>
      <c r="H16" s="6" t="n">
        <v>811</v>
      </c>
      <c r="I16" s="6" t="n">
        <v>821</v>
      </c>
      <c r="J16" s="6" t="n">
        <v>823</v>
      </c>
      <c r="K16" s="6" t="n">
        <v>827</v>
      </c>
      <c r="L16" s="6" t="n">
        <v>829</v>
      </c>
      <c r="M16" s="6" t="n">
        <v>839</v>
      </c>
      <c r="N16" s="6" t="n">
        <v>853</v>
      </c>
      <c r="O16" s="6" t="n">
        <v>857</v>
      </c>
      <c r="P16" s="6" t="n">
        <v>859</v>
      </c>
      <c r="Q16" s="6" t="n">
        <v>863</v>
      </c>
      <c r="R16" s="6" t="n">
        <v>2833</v>
      </c>
      <c r="S16" s="6" t="n">
        <v>2837</v>
      </c>
      <c r="T16" s="6" t="n">
        <v>2843</v>
      </c>
      <c r="U16" s="6" t="n">
        <v>2851</v>
      </c>
      <c r="V16" s="6" t="n">
        <v>2857</v>
      </c>
      <c r="W16" s="7" t="n">
        <v>2861</v>
      </c>
    </row>
    <row r="17" ht="16" customHeight="1" s="149" thickBot="1">
      <c r="A17" s="0" t="inlineStr">
        <is>
          <t>Rand6</t>
        </is>
      </c>
      <c r="B17" s="1">
        <f>MOD(B16*F$11+F$12,F$13)</f>
        <v/>
      </c>
      <c r="C17" s="0">
        <f>IF(D17&lt;0.5,0,1)</f>
        <v/>
      </c>
      <c r="D17" s="0">
        <f>B17/F$13</f>
        <v/>
      </c>
      <c r="E17" s="0">
        <f>IF(D17&lt;0.25,0,IF(D17&lt;0.5,1,IF(D17&lt;0.75,3,4)))</f>
        <v/>
      </c>
      <c r="G17" s="11" t="n">
        <v>16</v>
      </c>
      <c r="H17" s="8" t="n">
        <v>877</v>
      </c>
      <c r="I17" s="8" t="n">
        <v>881</v>
      </c>
      <c r="J17" s="8" t="n">
        <v>883</v>
      </c>
      <c r="K17" s="8" t="n">
        <v>887</v>
      </c>
      <c r="L17" s="8" t="n">
        <v>907</v>
      </c>
      <c r="M17" s="8" t="n">
        <v>911</v>
      </c>
      <c r="N17" s="8" t="n">
        <v>919</v>
      </c>
      <c r="O17" s="8" t="n">
        <v>929</v>
      </c>
      <c r="P17" s="8" t="n">
        <v>937</v>
      </c>
      <c r="Q17" s="8" t="n">
        <v>941</v>
      </c>
      <c r="R17" s="8" t="n">
        <v>2909</v>
      </c>
      <c r="S17" s="8" t="n">
        <v>2917</v>
      </c>
      <c r="T17" s="8" t="n">
        <v>2927</v>
      </c>
      <c r="U17" s="8" t="n">
        <v>2939</v>
      </c>
      <c r="V17" s="8" t="n">
        <v>2953</v>
      </c>
      <c r="W17" s="9" t="n">
        <v>2957</v>
      </c>
    </row>
    <row r="18">
      <c r="A18" s="0" t="inlineStr">
        <is>
          <t>Rand7</t>
        </is>
      </c>
      <c r="B18" s="1">
        <f>MOD(B17*F$11+F$12,F$13)</f>
        <v/>
      </c>
      <c r="C18" s="0">
        <f>IF(D18&lt;0.5,0,1)</f>
        <v/>
      </c>
      <c r="D18" s="0">
        <f>B18/F$13</f>
        <v/>
      </c>
      <c r="E18" s="0">
        <f>IF(D18&lt;0.25,0,IF(D18&lt;0.5,1,IF(D18&lt;0.75,3,4)))</f>
        <v/>
      </c>
    </row>
    <row r="19">
      <c r="A19" s="0" t="inlineStr">
        <is>
          <t>Rand8</t>
        </is>
      </c>
      <c r="B19" s="1">
        <f>MOD(B18*F$11+F$12,F$13)</f>
        <v/>
      </c>
      <c r="C19" s="0">
        <f>IF(D19&lt;0.5,0,1)</f>
        <v/>
      </c>
      <c r="D19" s="0">
        <f>B19/F$13</f>
        <v/>
      </c>
      <c r="E19" s="0">
        <f>IF(D19&lt;0.25,0,IF(D19&lt;0.5,1,IF(D19&lt;0.75,3,4)))</f>
        <v/>
      </c>
      <c r="H19" s="0">
        <f>2000+SUM(C12:C26)*25</f>
        <v/>
      </c>
    </row>
    <row r="20">
      <c r="A20" s="0" t="inlineStr">
        <is>
          <t>Rand9</t>
        </is>
      </c>
      <c r="B20" s="1">
        <f>MOD(B19*F$11+F$12,F$13)</f>
        <v/>
      </c>
      <c r="C20" s="0">
        <f>IF(D20&lt;0.5,0,1)</f>
        <v/>
      </c>
      <c r="D20" s="0">
        <f>B20/F$13</f>
        <v/>
      </c>
      <c r="E20" s="0">
        <f>IF(D20&lt;0.25,0,IF(D20&lt;0.5,1,IF(D20&lt;0.75,3,4)))</f>
        <v/>
      </c>
      <c r="H20" s="0">
        <f>2+SUM(C12:C15)*0.5</f>
        <v/>
      </c>
    </row>
    <row r="21">
      <c r="A21" s="0" t="inlineStr">
        <is>
          <t>Rand10</t>
        </is>
      </c>
      <c r="B21" s="1">
        <f>MOD(B20*F$11+F$12,F$13)</f>
        <v/>
      </c>
      <c r="C21" s="0">
        <f>IF(D21&lt;0.5,0,1)</f>
        <v/>
      </c>
      <c r="D21" s="0">
        <f>B21/F$13</f>
        <v/>
      </c>
      <c r="E21" s="0">
        <f>IF(D21&lt;0.25,0,IF(D21&lt;0.5,1,IF(D21&lt;0.75,3,4)))</f>
        <v/>
      </c>
      <c r="H21" s="0">
        <f>15+SUM(C21:C30)</f>
        <v/>
      </c>
    </row>
    <row r="22">
      <c r="A22" s="0" t="inlineStr">
        <is>
          <t>Rand11</t>
        </is>
      </c>
      <c r="B22" s="1">
        <f>MOD(B21*F$11+F$12,F$13)</f>
        <v/>
      </c>
      <c r="C22" s="0">
        <f>IF(D22&lt;0.5,0,1)</f>
        <v/>
      </c>
      <c r="D22" s="0">
        <f>B22/F$13</f>
        <v/>
      </c>
      <c r="E22" s="0">
        <f>IF(D22&lt;0.25,0,IF(D22&lt;0.5,1,IF(D22&lt;0.75,3,4)))</f>
        <v/>
      </c>
      <c r="H22" s="0">
        <f>20+SUM(C29:C31)*5</f>
        <v/>
      </c>
      <c r="M22" s="1" t="n"/>
    </row>
    <row r="23">
      <c r="A23" s="0" t="inlineStr">
        <is>
          <t>Rand12</t>
        </is>
      </c>
      <c r="B23" s="1">
        <f>MOD(B22*F$11+F$12,F$13)</f>
        <v/>
      </c>
      <c r="C23" s="0">
        <f>IF(D23&lt;0.5,0,1)</f>
        <v/>
      </c>
      <c r="D23" s="0">
        <f>B23/F$13</f>
        <v/>
      </c>
      <c r="E23" s="0">
        <f>IF(D23&lt;0.25,0,IF(D23&lt;0.5,1,IF(D23&lt;0.75,3,4)))</f>
        <v/>
      </c>
      <c r="M23" s="1" t="n"/>
    </row>
    <row r="24">
      <c r="A24" s="0" t="inlineStr">
        <is>
          <t>Rand13</t>
        </is>
      </c>
      <c r="B24" s="1">
        <f>MOD(B23*F$11+F$12,F$13)</f>
        <v/>
      </c>
      <c r="C24" s="0">
        <f>IF(D24&lt;0.5,0,1)</f>
        <v/>
      </c>
      <c r="D24" s="0">
        <f>B24/F$13</f>
        <v/>
      </c>
      <c r="E24" s="0">
        <f>IF(D24&lt;0.25,0,IF(D24&lt;0.5,1,IF(D24&lt;0.75,3,4)))</f>
        <v/>
      </c>
      <c r="M24" s="1" t="n"/>
    </row>
    <row r="25">
      <c r="A25" s="0" t="inlineStr">
        <is>
          <t>Rand14</t>
        </is>
      </c>
      <c r="B25" s="1">
        <f>MOD(B24*F$11+F$12,F$13)</f>
        <v/>
      </c>
      <c r="C25" s="0">
        <f>IF(D25&lt;0.5,0,1)</f>
        <v/>
      </c>
      <c r="D25" s="0">
        <f>B25/F$13</f>
        <v/>
      </c>
      <c r="E25" s="0">
        <f>IF(D25&lt;0.25,0,IF(D25&lt;0.5,1,IF(D25&lt;0.75,3,4)))</f>
        <v/>
      </c>
      <c r="M25" s="1" t="n"/>
    </row>
    <row r="26">
      <c r="A26" s="0" t="inlineStr">
        <is>
          <t>Rand15</t>
        </is>
      </c>
      <c r="B26" s="1">
        <f>MOD(B25*F$11+F$12,F$13)</f>
        <v/>
      </c>
      <c r="C26" s="0">
        <f>IF(D26&lt;0.5,0,1)</f>
        <v/>
      </c>
      <c r="D26" s="0">
        <f>B26/F$13</f>
        <v/>
      </c>
      <c r="E26" s="0">
        <f>IF(D26&lt;0.25,0,IF(D26&lt;0.5,1,IF(D26&lt;0.75,3,4)))</f>
        <v/>
      </c>
      <c r="M26" s="1" t="n"/>
    </row>
    <row r="27">
      <c r="A27" s="0" t="inlineStr">
        <is>
          <t>Rand16</t>
        </is>
      </c>
      <c r="B27" s="1">
        <f>MOD(B26*F$11+F$12,F$13)</f>
        <v/>
      </c>
      <c r="C27" s="0">
        <f>IF(D27&lt;0.5,0,1)</f>
        <v/>
      </c>
      <c r="D27" s="0">
        <f>B27/F$13</f>
        <v/>
      </c>
      <c r="E27" s="0">
        <f>IF(D27&lt;0.25,0,IF(D27&lt;0.5,1,IF(D27&lt;0.75,3,4)))</f>
        <v/>
      </c>
      <c r="M27" s="1" t="n"/>
    </row>
    <row r="28">
      <c r="A28" s="0" t="inlineStr">
        <is>
          <t>Rand17</t>
        </is>
      </c>
      <c r="B28" s="1">
        <f>MOD(B27*F$11+F$12,F$13)</f>
        <v/>
      </c>
      <c r="C28" s="0">
        <f>IF(D28&lt;0.5,0,1)</f>
        <v/>
      </c>
      <c r="D28" s="0">
        <f>B28/F$13</f>
        <v/>
      </c>
      <c r="E28" s="0">
        <f>IF(D28&lt;0.25,0,IF(D28&lt;0.5,1,IF(D28&lt;0.75,3,4)))</f>
        <v/>
      </c>
      <c r="M28" s="1" t="n"/>
    </row>
    <row r="29">
      <c r="A29" s="0" t="inlineStr">
        <is>
          <t>Rand18</t>
        </is>
      </c>
      <c r="B29" s="1">
        <f>MOD(B28*F$11+F$12,F$13)</f>
        <v/>
      </c>
      <c r="C29" s="0">
        <f>IF(D29&lt;0.5,0,1)</f>
        <v/>
      </c>
      <c r="D29" s="0">
        <f>B29/F$13</f>
        <v/>
      </c>
      <c r="E29" s="0">
        <f>IF(D29&lt;0.25,0,IF(D29&lt;0.5,1,IF(D29&lt;0.75,3,4)))</f>
        <v/>
      </c>
      <c r="M29" s="1" t="n"/>
    </row>
    <row r="30">
      <c r="A30" s="0" t="inlineStr">
        <is>
          <t>Rand19</t>
        </is>
      </c>
      <c r="B30" s="1">
        <f>MOD(B29*F$11+F$12,F$13)</f>
        <v/>
      </c>
      <c r="C30" s="0">
        <f>IF(D30&lt;0.5,0,1)</f>
        <v/>
      </c>
      <c r="D30" s="0">
        <f>B30/F$13</f>
        <v/>
      </c>
      <c r="E30" s="0">
        <f>IF(D30&lt;0.25,0,IF(D30&lt;0.5,1,IF(D30&lt;0.75,3,4)))</f>
        <v/>
      </c>
      <c r="M30" s="1" t="n"/>
    </row>
    <row r="31">
      <c r="A31" s="0" t="inlineStr">
        <is>
          <t>Rand20</t>
        </is>
      </c>
      <c r="B31" s="1">
        <f>MOD(B30*F$11+F$12,F$13)</f>
        <v/>
      </c>
      <c r="C31" s="0">
        <f>IF(D31&lt;0.5,0,1)</f>
        <v/>
      </c>
      <c r="D31" s="0">
        <f>B31/F$13</f>
        <v/>
      </c>
      <c r="E31" s="0">
        <f>IF(D31&lt;0.25,0,IF(D31&lt;0.5,1,IF(D31&lt;0.75,3,4)))</f>
        <v/>
      </c>
      <c r="M31" s="1" t="n"/>
    </row>
    <row r="32">
      <c r="A32" s="0" t="inlineStr">
        <is>
          <t>Rand21</t>
        </is>
      </c>
      <c r="B32" s="1">
        <f>MOD(B31*F$11+F$12,F$13)</f>
        <v/>
      </c>
      <c r="C32" s="0">
        <f>IF(D32&lt;0.5,0,1)</f>
        <v/>
      </c>
      <c r="D32" s="0">
        <f>B32/F$13</f>
        <v/>
      </c>
      <c r="E32" s="0">
        <f>IF(D32&lt;0.25,0,IF(D32&lt;0.5,1,IF(D32&lt;0.75,3,4)))</f>
        <v/>
      </c>
      <c r="M32" s="1" t="n"/>
    </row>
    <row r="33">
      <c r="A33" s="0" t="inlineStr">
        <is>
          <t>Rand22</t>
        </is>
      </c>
      <c r="B33" s="1">
        <f>MOD(B32*F$11+F$12,F$13)</f>
        <v/>
      </c>
      <c r="C33" s="0">
        <f>IF(D33&lt;0.5,0,1)</f>
        <v/>
      </c>
      <c r="D33" s="0">
        <f>B33/F$13</f>
        <v/>
      </c>
      <c r="E33" s="0">
        <f>IF(D33&lt;0.25,0,IF(D33&lt;0.5,1,IF(D33&lt;0.75,3,4)))</f>
        <v/>
      </c>
      <c r="M33"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Ben VanDerLinden</dc:creator>
  <dc:description xmlns:dc="http://purl.org/dc/elements/1.1/">Excel Template for Major Assignment 2 for MAT-144
Updated for release - 20220626</dc:description>
  <dcterms:created xmlns:dcterms="http://purl.org/dc/terms/" xmlns:xsi="http://www.w3.org/2001/XMLSchema-instance" xsi:type="dcterms:W3CDTF">2020-05-06T01:32:26Z</dcterms:created>
  <dcterms:modified xmlns:dcterms="http://purl.org/dc/terms/" xmlns:xsi="http://www.w3.org/2001/XMLSchema-instance" xsi:type="dcterms:W3CDTF">2026-06-28T00:38:30Z</dcterms:modified>
  <cp:lastModifiedBy>Clayton Ragsdale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0x010100911D7BF13958C64483E7E107A08507EA</vt:lpwstr>
  </property>
  <property name="MediaServiceImageTags" fmtid="{D5CDD505-2E9C-101B-9397-08002B2CF9AE}" pid="3">
    <vt:lpwstr xmlns:vt="http://schemas.openxmlformats.org/officeDocument/2006/docPropsVTypes"/>
  </property>
</Properties>
</file>