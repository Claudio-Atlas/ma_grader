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sd\Desktop\MA1_grader_beta\"/>
    </mc:Choice>
  </mc:AlternateContent>
  <xr:revisionPtr revIDLastSave="0" documentId="13_ncr:1_{83810AC8-8A77-435E-A37A-2D29B8FED7DD}" xr6:coauthVersionLast="47" xr6:coauthVersionMax="47" xr10:uidLastSave="{00000000-0000-0000-0000-000000000000}"/>
  <bookViews>
    <workbookView xWindow="56235" yWindow="960" windowWidth="28800" windowHeight="15375" xr2:uid="{ED66598B-EC9E-4F93-9A26-1237E9C1A556}"/>
  </bookViews>
  <sheets>
    <sheet name="Grading Sheet" sheetId="1" r:id="rId1"/>
  </sheets>
  <definedNames>
    <definedName name="check">_xlfn.LAMBDA(_xlpm.x,NOT(OR(ISBLANK(_xlpm.x),AND(_xlfn.ISFORMULA(_xlpm.x),ISNUMBER(_xlpm.x)))))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E23" i="1"/>
  <c r="F14" i="1"/>
  <c r="E14" i="1"/>
  <c r="F8" i="1"/>
  <c r="F24" i="1" s="1"/>
  <c r="E8" i="1"/>
  <c r="E24" i="1" s="1"/>
  <c r="F25" i="1" l="1"/>
  <c r="F26" i="1" s="1"/>
</calcChain>
</file>

<file path=xl/sharedStrings.xml><?xml version="1.0" encoding="utf-8"?>
<sst xmlns="http://schemas.openxmlformats.org/spreadsheetml/2006/main" count="40" uniqueCount="36">
  <si>
    <t>Competency</t>
  </si>
  <si>
    <t>Requirements for full credit</t>
  </si>
  <si>
    <t>(optional for student use) Did you meet the requirements?</t>
  </si>
  <si>
    <t>Points possible</t>
  </si>
  <si>
    <t>Your points</t>
  </si>
  <si>
    <t>Scoring comments</t>
  </si>
  <si>
    <t>Income Analysis</t>
  </si>
  <si>
    <t>Name</t>
  </si>
  <si>
    <t>You have entered your full name in the field provided.  (Note that entering your name on this sheet is required in order to complete your other sheets.)</t>
  </si>
  <si>
    <t>Best-Fit Line and Predicted Incomes</t>
  </si>
  <si>
    <t>Subtotals</t>
  </si>
  <si>
    <t>Unit Conversions</t>
  </si>
  <si>
    <t>Currency Conversions</t>
  </si>
  <si>
    <t>You have entered the date(s) on which you looked up the exchange rates for your currencies, and this date is within 2 weeks of the due date of your assignment.</t>
  </si>
  <si>
    <t>The cells containing the date, exchange rate, trip budget, and value of foreign currency are correctly formatted as specified in the last column of the table.</t>
  </si>
  <si>
    <t>Totals</t>
  </si>
  <si>
    <t>Percentage</t>
  </si>
  <si>
    <t>Score out of 100</t>
  </si>
  <si>
    <t>You have correctly calculated the slope and y-intercept for the data provided, using appropriate Excel functions (6 points).  You have formatted your slope and intercept as Number with 0 decimals (1 point).</t>
  </si>
  <si>
    <t>Your formulas for Average Weekly Incomes are correct, using cell references for the slope, y-intercept, and years of education (6 points).  You have formatted these entries as Currency with 0 decimals (1 point).</t>
  </si>
  <si>
    <t>Scatter Plot</t>
  </si>
  <si>
    <t>You have included an XY-Scatterplot of the BLS data (3 points), adding an appropriate title and axis labels (3 points).</t>
  </si>
  <si>
    <t>You have added a trendline to your scatterplot (1 point), extending it to 8 years on the left and 24 years on the right (1 point).</t>
  </si>
  <si>
    <t>You have identified the correct units for your final quantities, using the units abbreviations (including capitalization) provided in the conversion factors table. (1 point each)</t>
  </si>
  <si>
    <t>You have identified the conversion ratios to use, using correct units abbreviations from the table (including capitalization). (1 point each)</t>
  </si>
  <si>
    <t>Your formulas for the ratios are correct, using appropriate cell references. (2 points each)</t>
  </si>
  <si>
    <t>Your final quantity formulas are correct and use cell references for all inputs. (2 points each)</t>
  </si>
  <si>
    <t>Temperature Conversions</t>
  </si>
  <si>
    <t>Your Fahrenheit to Celsius conversion formulas are correct and use cell references.  The calculations are direct and do not use built-in Excel functions. (2 points each)</t>
  </si>
  <si>
    <t>You have entered the first two letters of your first and last names, using the letter M if one or both names consist of only one letter. (1/2 point each)</t>
  </si>
  <si>
    <t>You have chosen appropriate countries from the list provided below the table, using the procedure described in the instructions. (1/2 point each)</t>
  </si>
  <si>
    <t>You have entered the correct currency codes for your countries. (1 point each)</t>
  </si>
  <si>
    <t>You have provided each exchange rate to at least 3 significant digits. (1 point each)</t>
  </si>
  <si>
    <t>The trip budget in the foreign currency is a correct Excel formula, using cell references. (2 points each)</t>
  </si>
  <si>
    <t>Your calculation of the value of the foreign currency units into dollars is a correct Excel formula, using cell references. (2 points each)</t>
  </si>
  <si>
    <t>Major Assignment 1 Grading Sheet (03/17/2025)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</si>
</sst>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 style="medium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1" fontId="0" fillId="3" borderId="3" xfId="0" applyNumberFormat="1" applyFill="1" applyBorder="1" applyAlignment="1" applyProtection="1">
      <alignment horizontal="center" vertical="center" wrapText="1"/>
      <protection hidden="1"/>
    </xf>
    <xf numFmtId="0" fontId="0" fillId="0" borderId="5" xfId="0" applyBorder="1" applyAlignment="1" applyProtection="1">
      <alignment horizontal="left" vertical="center" wrapText="1"/>
      <protection locked="0"/>
    </xf>
    <xf numFmtId="1" fontId="0" fillId="3" borderId="7" xfId="0" applyNumberFormat="1" applyFill="1" applyBorder="1" applyAlignment="1" applyProtection="1">
      <alignment horizontal="center" vertical="center" wrapText="1"/>
      <protection hidden="1"/>
    </xf>
    <xf numFmtId="1" fontId="0" fillId="3" borderId="1" xfId="0" applyNumberFormat="1" applyFill="1" applyBorder="1" applyAlignment="1" applyProtection="1">
      <alignment horizontal="center" vertical="center" wrapText="1"/>
      <protection hidden="1"/>
    </xf>
    <xf numFmtId="0" fontId="1" fillId="4" borderId="16" xfId="0" applyFont="1" applyFill="1" applyBorder="1" applyAlignment="1">
      <alignment horizontal="center" vertical="center" wrapText="1"/>
    </xf>
    <xf numFmtId="1" fontId="0" fillId="3" borderId="17" xfId="0" applyNumberFormat="1" applyFill="1" applyBorder="1" applyAlignment="1" applyProtection="1">
      <alignment horizontal="center" vertical="center" wrapText="1"/>
      <protection hidden="1"/>
    </xf>
    <xf numFmtId="1" fontId="0" fillId="3" borderId="13" xfId="0" applyNumberForma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 wrapText="1"/>
    </xf>
    <xf numFmtId="1" fontId="0" fillId="3" borderId="16" xfId="0" applyNumberFormat="1" applyFill="1" applyBorder="1" applyAlignment="1" applyProtection="1">
      <alignment horizontal="center" vertical="center" wrapText="1"/>
      <protection hidden="1"/>
    </xf>
    <xf numFmtId="0" fontId="0" fillId="0" borderId="23" xfId="0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 wrapText="1"/>
    </xf>
    <xf numFmtId="10" fontId="0" fillId="3" borderId="16" xfId="0" applyNumberFormat="1" applyFill="1" applyBorder="1" applyAlignment="1" applyProtection="1">
      <alignment horizontal="center" vertical="center" wrapText="1"/>
      <protection hidden="1"/>
    </xf>
    <xf numFmtId="10" fontId="1" fillId="3" borderId="16" xfId="0" applyNumberFormat="1" applyFont="1" applyFill="1" applyBorder="1" applyAlignment="1" applyProtection="1">
      <alignment horizontal="center" vertical="center" wrapText="1"/>
      <protection hidden="1"/>
    </xf>
    <xf numFmtId="2" fontId="0" fillId="3" borderId="16" xfId="0" applyNumberFormat="1" applyFill="1" applyBorder="1" applyAlignment="1">
      <alignment horizontal="center" vertical="center" wrapText="1"/>
    </xf>
    <xf numFmtId="2" fontId="1" fillId="5" borderId="16" xfId="0" applyNumberFormat="1" applyFont="1" applyFill="1" applyBorder="1" applyAlignment="1">
      <alignment horizontal="center" vertical="center" wrapText="1"/>
    </xf>
    <xf numFmtId="0" fontId="0" fillId="6" borderId="26" xfId="0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0" fillId="6" borderId="24" xfId="0" applyFill="1" applyBorder="1" applyAlignment="1" applyProtection="1">
      <alignment horizontal="center" vertical="center" wrapText="1"/>
      <protection locked="0"/>
    </xf>
    <xf numFmtId="0" fontId="0" fillId="6" borderId="7" xfId="0" applyFill="1" applyBorder="1" applyAlignment="1" applyProtection="1">
      <alignment horizontal="center" vertical="center" wrapText="1"/>
      <protection locked="0"/>
    </xf>
    <xf numFmtId="0" fontId="0" fillId="6" borderId="13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 wrapText="1" indent="1"/>
    </xf>
    <xf numFmtId="0" fontId="0" fillId="0" borderId="21" xfId="0" applyBorder="1" applyAlignment="1">
      <alignment horizontal="left" vertical="center" wrapText="1" indent="1"/>
    </xf>
    <xf numFmtId="0" fontId="0" fillId="0" borderId="24" xfId="0" applyBorder="1" applyAlignment="1">
      <alignment horizontal="left" vertical="center" wrapText="1" indent="1"/>
    </xf>
    <xf numFmtId="0" fontId="0" fillId="0" borderId="13" xfId="0" applyBorder="1" applyAlignment="1">
      <alignment horizontal="left" vertical="center" wrapText="1" indent="1"/>
    </xf>
    <xf numFmtId="0" fontId="0" fillId="0" borderId="7" xfId="0" applyBorder="1" applyAlignment="1" applyProtection="1">
      <alignment horizontal="left" vertical="center" wrapText="1" indent="1"/>
      <protection locked="0"/>
    </xf>
    <xf numFmtId="0" fontId="0" fillId="0" borderId="1" xfId="0" applyBorder="1" applyAlignment="1" applyProtection="1">
      <alignment horizontal="left" vertical="center" wrapText="1" indent="1"/>
      <protection locked="0"/>
    </xf>
    <xf numFmtId="0" fontId="0" fillId="0" borderId="13" xfId="0" applyBorder="1" applyAlignment="1" applyProtection="1">
      <alignment horizontal="left" vertical="center" wrapText="1" indent="1"/>
      <protection locked="0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1" fillId="3" borderId="4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 applyProtection="1">
      <alignment horizontal="center" vertical="center" wrapText="1"/>
      <protection locked="0"/>
    </xf>
    <xf numFmtId="0" fontId="1" fillId="3" borderId="16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0" fillId="3" borderId="22" xfId="0" applyFill="1" applyBorder="1" applyAlignment="1" applyProtection="1">
      <alignment horizontal="center" vertical="center" wrapText="1"/>
      <protection hidden="1"/>
    </xf>
    <xf numFmtId="0" fontId="4" fillId="2" borderId="11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Continuous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5" fillId="2" borderId="32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locked="0"/>
    </xf>
    <xf numFmtId="0" fontId="5" fillId="2" borderId="2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5ECE"/>
      <color rgb="FFA86ED4"/>
      <color rgb="FF9148C8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2E73-AC9C-4758-A52E-87EF1730E3C8}">
  <dimension ref="A1:G26"/>
  <sheetViews>
    <sheetView tabSelected="1" zoomScaleNormal="100" workbookViewId="0">
      <selection activeCell="J5" sqref="J5"/>
    </sheetView>
  </sheetViews>
  <sheetFormatPr defaultColWidth="8.7265625" defaultRowHeight="14.5" x14ac:dyDescent="0.35"/>
  <cols>
    <col min="1" max="1" width="15.26953125" customWidth="1"/>
    <col min="2" max="2" width="12.453125" customWidth="1"/>
    <col min="3" max="3" width="62.26953125" customWidth="1"/>
    <col min="4" max="4" width="16" customWidth="1"/>
    <col min="5" max="6" width="11.26953125" customWidth="1"/>
    <col min="7" max="7" width="62.26953125" customWidth="1"/>
  </cols>
  <sheetData>
    <row r="1" spans="1:7" ht="15" thickBot="1" x14ac:dyDescent="0.4">
      <c r="A1" s="51"/>
      <c r="B1" s="52"/>
      <c r="C1" s="49" t="s">
        <v>35</v>
      </c>
      <c r="D1" s="50"/>
      <c r="E1" s="50"/>
      <c r="F1" s="50"/>
      <c r="G1" s="50"/>
    </row>
    <row r="2" spans="1:7" ht="58.5" thickBot="1" x14ac:dyDescent="0.4">
      <c r="A2" s="48"/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5" t="s">
        <v>5</v>
      </c>
    </row>
    <row r="3" spans="1:7" ht="44" thickBot="1" x14ac:dyDescent="0.4">
      <c r="A3" s="56" t="s">
        <v>6</v>
      </c>
      <c r="B3" s="27" t="s">
        <v>7</v>
      </c>
      <c r="C3" s="29" t="s">
        <v>8</v>
      </c>
      <c r="D3" s="18"/>
      <c r="E3" s="2">
        <v>1</v>
      </c>
      <c r="F3" s="39"/>
      <c r="G3" s="3"/>
    </row>
    <row r="4" spans="1:7" ht="43.4" customHeight="1" x14ac:dyDescent="0.35">
      <c r="A4" s="57"/>
      <c r="B4" s="59" t="s">
        <v>9</v>
      </c>
      <c r="C4" s="30" t="s">
        <v>18</v>
      </c>
      <c r="D4" s="19"/>
      <c r="E4" s="4">
        <v>7</v>
      </c>
      <c r="F4" s="40"/>
      <c r="G4" s="3"/>
    </row>
    <row r="5" spans="1:7" ht="58.5" thickBot="1" x14ac:dyDescent="0.4">
      <c r="A5" s="57"/>
      <c r="B5" s="60"/>
      <c r="C5" s="31" t="s">
        <v>19</v>
      </c>
      <c r="D5" s="19"/>
      <c r="E5" s="5">
        <v>7</v>
      </c>
      <c r="F5" s="41"/>
      <c r="G5" s="3"/>
    </row>
    <row r="6" spans="1:7" ht="29" x14ac:dyDescent="0.35">
      <c r="A6" s="57"/>
      <c r="B6" s="61" t="s">
        <v>20</v>
      </c>
      <c r="C6" s="32" t="s">
        <v>21</v>
      </c>
      <c r="D6" s="19"/>
      <c r="E6" s="4">
        <v>6</v>
      </c>
      <c r="F6" s="40"/>
      <c r="G6" s="3"/>
    </row>
    <row r="7" spans="1:7" ht="29.5" thickBot="1" x14ac:dyDescent="0.4">
      <c r="A7" s="58"/>
      <c r="B7" s="62"/>
      <c r="C7" s="33" t="s">
        <v>22</v>
      </c>
      <c r="D7" s="20"/>
      <c r="E7" s="5">
        <v>2</v>
      </c>
      <c r="F7" s="41"/>
      <c r="G7" s="3"/>
    </row>
    <row r="8" spans="1:7" ht="15" thickBot="1" x14ac:dyDescent="0.4">
      <c r="A8" s="63"/>
      <c r="B8" s="64"/>
      <c r="C8" s="65"/>
      <c r="D8" s="26" t="s">
        <v>10</v>
      </c>
      <c r="E8" s="7">
        <f>SUM(E3:E7)</f>
        <v>23</v>
      </c>
      <c r="F8" s="42">
        <f>SUM(F3:F7)</f>
        <v>0</v>
      </c>
      <c r="G8" s="28"/>
    </row>
    <row r="9" spans="1:7" ht="43.5" x14ac:dyDescent="0.35">
      <c r="A9" s="66" t="s">
        <v>11</v>
      </c>
      <c r="B9" s="69" t="s">
        <v>11</v>
      </c>
      <c r="C9" s="34" t="s">
        <v>23</v>
      </c>
      <c r="D9" s="18"/>
      <c r="E9" s="4">
        <v>4</v>
      </c>
      <c r="F9" s="40"/>
      <c r="G9" s="3"/>
    </row>
    <row r="10" spans="1:7" ht="29" x14ac:dyDescent="0.35">
      <c r="A10" s="67"/>
      <c r="B10" s="69"/>
      <c r="C10" s="31" t="s">
        <v>24</v>
      </c>
      <c r="D10" s="19"/>
      <c r="E10" s="5">
        <v>10</v>
      </c>
      <c r="F10" s="41"/>
      <c r="G10" s="3"/>
    </row>
    <row r="11" spans="1:7" ht="29" x14ac:dyDescent="0.35">
      <c r="A11" s="67"/>
      <c r="B11" s="69"/>
      <c r="C11" s="31" t="s">
        <v>25</v>
      </c>
      <c r="D11" s="19"/>
      <c r="E11" s="5">
        <v>20</v>
      </c>
      <c r="F11" s="41"/>
      <c r="G11" s="3"/>
    </row>
    <row r="12" spans="1:7" ht="29.5" thickBot="1" x14ac:dyDescent="0.4">
      <c r="A12" s="67"/>
      <c r="B12" s="69"/>
      <c r="C12" s="31" t="s">
        <v>26</v>
      </c>
      <c r="D12" s="19"/>
      <c r="E12" s="5">
        <v>8</v>
      </c>
      <c r="F12" s="41"/>
      <c r="G12" s="3"/>
    </row>
    <row r="13" spans="1:7" ht="44" thickBot="1" x14ac:dyDescent="0.4">
      <c r="A13" s="68"/>
      <c r="B13" s="43" t="s">
        <v>27</v>
      </c>
      <c r="C13" s="35" t="s">
        <v>28</v>
      </c>
      <c r="D13" s="20"/>
      <c r="E13" s="8">
        <v>4</v>
      </c>
      <c r="F13" s="44"/>
      <c r="G13" s="3"/>
    </row>
    <row r="14" spans="1:7" ht="15" thickBot="1" x14ac:dyDescent="0.4">
      <c r="A14" s="23"/>
      <c r="B14" s="23"/>
      <c r="C14" s="23"/>
      <c r="D14" s="6" t="s">
        <v>10</v>
      </c>
      <c r="E14" s="10">
        <f>SUM(E9:E13)</f>
        <v>46</v>
      </c>
      <c r="F14" s="45">
        <f>SUM(F9:F13)</f>
        <v>0</v>
      </c>
      <c r="G14" s="28"/>
    </row>
    <row r="15" spans="1:7" ht="43.5" x14ac:dyDescent="0.35">
      <c r="A15" s="70" t="s">
        <v>12</v>
      </c>
      <c r="B15" s="53" t="s">
        <v>12</v>
      </c>
      <c r="C15" s="36" t="s">
        <v>29</v>
      </c>
      <c r="D15" s="21"/>
      <c r="E15" s="4">
        <v>2</v>
      </c>
      <c r="F15" s="40"/>
      <c r="G15" s="46"/>
    </row>
    <row r="16" spans="1:7" ht="43.5" x14ac:dyDescent="0.35">
      <c r="A16" s="71"/>
      <c r="B16" s="54"/>
      <c r="C16" s="37" t="s">
        <v>30</v>
      </c>
      <c r="D16" s="19"/>
      <c r="E16" s="5">
        <v>2</v>
      </c>
      <c r="F16" s="41"/>
      <c r="G16" s="3"/>
    </row>
    <row r="17" spans="1:7" ht="43.5" x14ac:dyDescent="0.35">
      <c r="A17" s="71"/>
      <c r="B17" s="54"/>
      <c r="C17" s="37" t="s">
        <v>13</v>
      </c>
      <c r="D17" s="19"/>
      <c r="E17" s="5">
        <v>2</v>
      </c>
      <c r="F17" s="41"/>
      <c r="G17" s="3"/>
    </row>
    <row r="18" spans="1:7" ht="29" x14ac:dyDescent="0.35">
      <c r="A18" s="71"/>
      <c r="B18" s="54"/>
      <c r="C18" s="37" t="s">
        <v>31</v>
      </c>
      <c r="D18" s="19"/>
      <c r="E18" s="5">
        <v>4</v>
      </c>
      <c r="F18" s="41"/>
      <c r="G18" s="3"/>
    </row>
    <row r="19" spans="1:7" ht="29" x14ac:dyDescent="0.35">
      <c r="A19" s="71"/>
      <c r="B19" s="54"/>
      <c r="C19" s="37" t="s">
        <v>32</v>
      </c>
      <c r="D19" s="19"/>
      <c r="E19" s="5">
        <v>4</v>
      </c>
      <c r="F19" s="41"/>
      <c r="G19" s="3"/>
    </row>
    <row r="20" spans="1:7" ht="29" x14ac:dyDescent="0.35">
      <c r="A20" s="71"/>
      <c r="B20" s="54"/>
      <c r="C20" s="37" t="s">
        <v>33</v>
      </c>
      <c r="D20" s="19"/>
      <c r="E20" s="5">
        <v>8</v>
      </c>
      <c r="F20" s="41"/>
      <c r="G20" s="3"/>
    </row>
    <row r="21" spans="1:7" ht="29" x14ac:dyDescent="0.35">
      <c r="A21" s="71"/>
      <c r="B21" s="54"/>
      <c r="C21" s="37" t="s">
        <v>34</v>
      </c>
      <c r="D21" s="19"/>
      <c r="E21" s="5">
        <v>8</v>
      </c>
      <c r="F21" s="41"/>
      <c r="G21" s="3"/>
    </row>
    <row r="22" spans="1:7" ht="44" thickBot="1" x14ac:dyDescent="0.4">
      <c r="A22" s="72"/>
      <c r="B22" s="55"/>
      <c r="C22" s="38" t="s">
        <v>14</v>
      </c>
      <c r="D22" s="22"/>
      <c r="E22" s="8">
        <v>4</v>
      </c>
      <c r="F22" s="44"/>
      <c r="G22" s="3"/>
    </row>
    <row r="23" spans="1:7" ht="15" thickBot="1" x14ac:dyDescent="0.4">
      <c r="A23" s="11"/>
      <c r="B23" s="11"/>
      <c r="C23" s="11"/>
      <c r="D23" s="12" t="s">
        <v>10</v>
      </c>
      <c r="E23" s="7">
        <f>SUM(E15:E22)</f>
        <v>34</v>
      </c>
      <c r="F23" s="42">
        <f>SUM(F15:F22)</f>
        <v>0</v>
      </c>
      <c r="G23" s="1"/>
    </row>
    <row r="24" spans="1:7" ht="15" thickBot="1" x14ac:dyDescent="0.4">
      <c r="A24" s="9"/>
      <c r="B24" s="9"/>
      <c r="C24" s="13"/>
      <c r="D24" s="6" t="s">
        <v>15</v>
      </c>
      <c r="E24" s="7">
        <f>E8+E14+E23</f>
        <v>103</v>
      </c>
      <c r="F24" s="47">
        <f>F8+F14+F23</f>
        <v>0</v>
      </c>
    </row>
    <row r="25" spans="1:7" ht="15" thickBot="1" x14ac:dyDescent="0.4">
      <c r="A25" s="9"/>
      <c r="B25" s="9"/>
      <c r="C25" s="13"/>
      <c r="D25" s="6" t="s">
        <v>16</v>
      </c>
      <c r="E25" s="14">
        <v>1</v>
      </c>
      <c r="F25" s="15">
        <f>F24/E24</f>
        <v>0</v>
      </c>
    </row>
    <row r="26" spans="1:7" ht="15" thickBot="1" x14ac:dyDescent="0.4">
      <c r="D26" s="6" t="s">
        <v>17</v>
      </c>
      <c r="E26" s="16">
        <v>100</v>
      </c>
      <c r="F26" s="17">
        <f>E26*F25</f>
        <v>0</v>
      </c>
    </row>
  </sheetData>
  <sheetProtection formatCells="0" formatColumns="0" formatRows="0"/>
  <protectedRanges>
    <protectedRange sqref="F3:G22" name="Range1_1"/>
    <protectedRange sqref="D3:D7" name="Range2_1"/>
    <protectedRange sqref="D9:D13" name="Range3_1"/>
    <protectedRange sqref="D15:D22" name="Range4_1"/>
    <protectedRange sqref="H1:O22" name="Range5_1"/>
    <protectedRange sqref="G23:O26" name="Range6_1"/>
  </protectedRanges>
  <mergeCells count="9">
    <mergeCell ref="A1:B1"/>
    <mergeCell ref="B15:B22"/>
    <mergeCell ref="A3:A7"/>
    <mergeCell ref="B4:B5"/>
    <mergeCell ref="B6:B7"/>
    <mergeCell ref="A8:C8"/>
    <mergeCell ref="A9:A13"/>
    <mergeCell ref="B9:B12"/>
    <mergeCell ref="A15:A2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57ba54-12e9-41a3-ab87-ffd5bc645430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37d47695-dda2-48a2-87bc-2a1f7ac7fe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D7BF13958C64483E7E107A08507EA" ma:contentTypeVersion="3706" ma:contentTypeDescription="Create a new document." ma:contentTypeScope="" ma:versionID="27b9d429859bcb4cc95ca5b147d3168a">
  <xsd:schema xmlns:xsd="http://www.w3.org/2001/XMLSchema" xmlns:xs="http://www.w3.org/2001/XMLSchema" xmlns:p="http://schemas.microsoft.com/office/2006/metadata/properties" xmlns:ns1="http://schemas.microsoft.com/sharepoint/v3" xmlns:ns2="b457ba54-12e9-41a3-ab87-ffd5bc645430" xmlns:ns3="37d47695-dda2-48a2-87bc-2a1f7ac7fedc" targetNamespace="http://schemas.microsoft.com/office/2006/metadata/properties" ma:root="true" ma:fieldsID="1c82921937d1af28a735bf3437c860b8" ns1:_="" ns2:_="" ns3:_="">
    <xsd:import namespace="http://schemas.microsoft.com/sharepoint/v3"/>
    <xsd:import namespace="b457ba54-12e9-41a3-ab87-ffd5bc645430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ba54-12e9-41a3-ab87-ffd5bc645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378EA-F8C5-416E-A8D0-859E9593B8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A77B5A-03EB-4548-8B78-7C572D28AD2B}">
  <ds:schemaRefs>
    <ds:schemaRef ds:uri="http://schemas.microsoft.com/office/2006/metadata/properties"/>
    <ds:schemaRef ds:uri="http://schemas.microsoft.com/office/infopath/2007/PartnerControls"/>
    <ds:schemaRef ds:uri="cca9fd2d-ef84-45c9-8063-8f4bd4c29606"/>
    <ds:schemaRef ds:uri="b457ba54-12e9-41a3-ab87-ffd5bc645430"/>
    <ds:schemaRef ds:uri="http://schemas.microsoft.com/sharepoint/v3"/>
    <ds:schemaRef ds:uri="37d47695-dda2-48a2-87bc-2a1f7ac7fedc"/>
  </ds:schemaRefs>
</ds:datastoreItem>
</file>

<file path=customXml/itemProps3.xml><?xml version="1.0" encoding="utf-8"?>
<ds:datastoreItem xmlns:ds="http://schemas.openxmlformats.org/officeDocument/2006/customXml" ds:itemID="{42EF6982-8793-4479-9A1B-F28A44AA5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457ba54-12e9-41a3-ab87-ffd5bc645430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Grading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VanDerLinden</dc:creator>
  <cp:keywords/>
  <dc:description/>
  <cp:lastModifiedBy>Clayton Ragsdale</cp:lastModifiedBy>
  <cp:revision/>
  <dcterms:created xsi:type="dcterms:W3CDTF">2021-11-18T19:10:12Z</dcterms:created>
  <dcterms:modified xsi:type="dcterms:W3CDTF">2025-11-20T23:27:12Z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0x010100911D7BF13958C64483E7E107A08507EA</vt:lpwstr>
  </property>
  <property fmtid="{D5CDD505-2E9C-101B-9397-08002B2CF9AE}" pid="3" name="MediaServiceImageTags">
    <vt:lpwstr/>
  </property>
</Properties>
</file>